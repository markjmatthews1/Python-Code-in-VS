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jmat\Python Code in VS\"/>
    </mc:Choice>
  </mc:AlternateContent>
  <xr:revisionPtr revIDLastSave="0" documentId="13_ncr:1_{AD1480BE-AA91-499A-97AD-FEFA337D3EAF}" xr6:coauthVersionLast="47" xr6:coauthVersionMax="47" xr10:uidLastSave="{00000000-0000-0000-0000-000000000000}"/>
  <bookViews>
    <workbookView xWindow="-120" yWindow="-120" windowWidth="29040" windowHeight="15720" activeTab="1" xr2:uid="{00000000-000D-0000-FFFF-FFFF00000000}"/>
  </bookViews>
  <sheets>
    <sheet name="2024 Results" sheetId="1" r:id="rId1"/>
    <sheet name="Open_Trades_2025" sheetId="2" r:id="rId2"/>
    <sheet name="Closed_Trades_2025" sheetId="3" r:id="rId3"/>
    <sheet name="Result" sheetId="4" r:id="rId4"/>
    <sheet name="Result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3" l="1"/>
  <c r="P2" i="3"/>
  <c r="I113" i="1"/>
  <c r="H109" i="1"/>
  <c r="H108" i="1"/>
  <c r="N107" i="1"/>
  <c r="K107" i="1"/>
  <c r="J107" i="1"/>
  <c r="N106" i="1"/>
  <c r="H106" i="1"/>
  <c r="N105" i="1"/>
  <c r="K105" i="1"/>
  <c r="J105" i="1"/>
  <c r="H104" i="1"/>
  <c r="N103" i="1"/>
  <c r="K103" i="1"/>
  <c r="J103" i="1"/>
  <c r="H102" i="1"/>
  <c r="I101" i="1"/>
  <c r="N100" i="1"/>
  <c r="K100" i="1"/>
  <c r="J100" i="1"/>
  <c r="H99" i="1"/>
  <c r="H98" i="1"/>
  <c r="N97" i="1"/>
  <c r="H97" i="1"/>
  <c r="N96" i="1"/>
  <c r="K96" i="1"/>
  <c r="J96" i="1"/>
  <c r="H95" i="1"/>
  <c r="O94" i="1"/>
  <c r="N94" i="1"/>
  <c r="N93" i="1"/>
  <c r="K93" i="1"/>
  <c r="J93" i="1"/>
  <c r="N92" i="1"/>
  <c r="K92" i="1"/>
  <c r="J92" i="1"/>
  <c r="N91" i="1"/>
  <c r="O90" i="1"/>
  <c r="N90" i="1"/>
  <c r="K90" i="1"/>
  <c r="J90" i="1"/>
  <c r="H89" i="1"/>
  <c r="O88" i="1"/>
  <c r="N88" i="1"/>
  <c r="O87" i="1"/>
  <c r="N87" i="1"/>
  <c r="O86" i="1"/>
  <c r="N86" i="1"/>
  <c r="O85" i="1"/>
  <c r="N85" i="1"/>
  <c r="H84" i="1"/>
  <c r="N83" i="1"/>
  <c r="K83" i="1"/>
  <c r="K113" i="1" s="1"/>
  <c r="J83" i="1"/>
  <c r="J113" i="1" s="1"/>
  <c r="O82" i="1"/>
  <c r="N82" i="1"/>
  <c r="H81" i="1"/>
  <c r="O80" i="1"/>
  <c r="N80" i="1"/>
  <c r="O79" i="1"/>
  <c r="N79" i="1"/>
  <c r="O78" i="1"/>
  <c r="N78" i="1"/>
  <c r="O77" i="1"/>
  <c r="N77" i="1"/>
  <c r="O76" i="1"/>
  <c r="N76" i="1"/>
  <c r="O75" i="1"/>
  <c r="N75" i="1"/>
  <c r="O73" i="1"/>
  <c r="N73" i="1"/>
  <c r="O72" i="1"/>
  <c r="N72" i="1"/>
  <c r="O71" i="1"/>
  <c r="N71" i="1"/>
  <c r="O70" i="1"/>
  <c r="N70" i="1"/>
  <c r="O69" i="1"/>
  <c r="N69" i="1"/>
  <c r="O68" i="1"/>
  <c r="N68" i="1"/>
  <c r="O67" i="1"/>
  <c r="N67" i="1"/>
  <c r="N66" i="1"/>
  <c r="O65" i="1"/>
  <c r="N65" i="1"/>
  <c r="O64" i="1"/>
  <c r="N64" i="1"/>
  <c r="O63" i="1"/>
  <c r="N63" i="1"/>
  <c r="O62" i="1"/>
  <c r="N62" i="1"/>
  <c r="O61" i="1"/>
  <c r="N61" i="1"/>
  <c r="N60" i="1"/>
  <c r="N59" i="1"/>
  <c r="O58" i="1"/>
  <c r="N58" i="1"/>
  <c r="O57" i="1"/>
  <c r="N57" i="1"/>
  <c r="O56" i="1"/>
  <c r="N56" i="1"/>
  <c r="O55" i="1"/>
  <c r="N55" i="1"/>
  <c r="O54" i="1"/>
  <c r="N54" i="1"/>
  <c r="O53" i="1"/>
  <c r="N53" i="1"/>
  <c r="O52" i="1"/>
  <c r="N52" i="1"/>
  <c r="O51" i="1"/>
  <c r="N51" i="1"/>
  <c r="N50" i="1"/>
  <c r="N49" i="1"/>
  <c r="N48" i="1"/>
  <c r="O47" i="1"/>
  <c r="N47" i="1"/>
  <c r="O46" i="1"/>
  <c r="N46" i="1"/>
  <c r="O45" i="1"/>
  <c r="N45" i="1"/>
  <c r="O44" i="1"/>
  <c r="N44" i="1"/>
  <c r="O43" i="1"/>
  <c r="N43" i="1"/>
  <c r="H42" i="1"/>
  <c r="H41" i="1"/>
  <c r="O40" i="1"/>
  <c r="N40" i="1"/>
  <c r="O39" i="1"/>
  <c r="N39" i="1"/>
  <c r="O38" i="1"/>
  <c r="N38" i="1"/>
  <c r="O37" i="1"/>
  <c r="N37" i="1"/>
  <c r="O36" i="1"/>
  <c r="N36" i="1"/>
  <c r="O35" i="1"/>
  <c r="N35" i="1"/>
  <c r="N34" i="1"/>
  <c r="O33" i="1"/>
  <c r="N33" i="1"/>
  <c r="O32" i="1"/>
  <c r="N32" i="1"/>
  <c r="O31" i="1"/>
  <c r="N31" i="1"/>
  <c r="N30" i="1"/>
  <c r="N29" i="1"/>
  <c r="O28" i="1"/>
  <c r="N28" i="1"/>
  <c r="O27" i="1"/>
  <c r="N27" i="1"/>
  <c r="P30" i="1" s="1"/>
  <c r="O26" i="1"/>
  <c r="N26" i="1"/>
  <c r="O25" i="1"/>
  <c r="N25" i="1"/>
  <c r="O24" i="1"/>
  <c r="N24" i="1"/>
  <c r="O23" i="1"/>
  <c r="N23" i="1"/>
  <c r="O22" i="1"/>
  <c r="N22" i="1"/>
  <c r="N21" i="1"/>
  <c r="H20" i="1"/>
  <c r="H19" i="1"/>
  <c r="H113" i="1" s="1"/>
  <c r="O18" i="1"/>
  <c r="N18" i="1"/>
  <c r="O17" i="1"/>
  <c r="N17" i="1"/>
  <c r="N16" i="1"/>
  <c r="O15" i="1"/>
  <c r="N15" i="1"/>
  <c r="O14" i="1"/>
  <c r="N14" i="1"/>
  <c r="O13" i="1"/>
  <c r="N13" i="1"/>
  <c r="O12" i="1"/>
  <c r="N12" i="1"/>
  <c r="O11" i="1"/>
  <c r="N11" i="1"/>
  <c r="O10" i="1"/>
  <c r="N10" i="1"/>
  <c r="O8" i="1"/>
  <c r="N8" i="1"/>
  <c r="O7" i="1"/>
  <c r="N7" i="1"/>
  <c r="N6" i="1"/>
  <c r="O5" i="1"/>
  <c r="N5" i="1"/>
  <c r="O4" i="1"/>
  <c r="N4" i="1"/>
  <c r="O3" i="1"/>
  <c r="O113" i="1" s="1"/>
  <c r="N3" i="1"/>
  <c r="N113" i="1" s="1"/>
</calcChain>
</file>

<file path=xl/sharedStrings.xml><?xml version="1.0" encoding="utf-8"?>
<sst xmlns="http://schemas.openxmlformats.org/spreadsheetml/2006/main" count="965" uniqueCount="425">
  <si>
    <t>Bryan Perry AI investing started his service around Feb 24</t>
  </si>
  <si>
    <t>2024 stock purchase type</t>
  </si>
  <si>
    <t>Strike price</t>
  </si>
  <si>
    <t>Stock ticker</t>
  </si>
  <si>
    <t>Date of transaction</t>
  </si>
  <si>
    <t>Number of shares +/-</t>
  </si>
  <si>
    <t>Cost</t>
  </si>
  <si>
    <t>total investment</t>
  </si>
  <si>
    <t>Call Value</t>
  </si>
  <si>
    <t>Put Value</t>
  </si>
  <si>
    <t>Put cash requirement</t>
  </si>
  <si>
    <t>Notes</t>
  </si>
  <si>
    <t>Close price</t>
  </si>
  <si>
    <t>Relized profit loss</t>
  </si>
  <si>
    <t>P&amp;L %</t>
  </si>
  <si>
    <t xml:space="preserve">Bought stock </t>
  </si>
  <si>
    <t>TQQQ</t>
  </si>
  <si>
    <t>Closed 5/22</t>
  </si>
  <si>
    <t>DKNG</t>
  </si>
  <si>
    <t>Closed 12/5</t>
  </si>
  <si>
    <t>requested by perry to close 5/28 at roughly 35.85</t>
  </si>
  <si>
    <t>sold $50 Put 5/17</t>
  </si>
  <si>
    <t>requested by perry to close 5/28 at roughly 35.85 exercised 5/8</t>
  </si>
  <si>
    <t>Sold $48 call 5/17</t>
  </si>
  <si>
    <t xml:space="preserve">Expired 5/20 </t>
  </si>
  <si>
    <t>Call expired full profit of sold amout achieved.</t>
  </si>
  <si>
    <t>SQ</t>
  </si>
  <si>
    <t>Called away 11/16</t>
  </si>
  <si>
    <t xml:space="preserve">Called away 11/16 for $80 got full credit for call </t>
  </si>
  <si>
    <t>Sold $80 Put 5/17</t>
  </si>
  <si>
    <t>assigned 5/15</t>
  </si>
  <si>
    <t>Assigned at $80 less value of put $6.75 = 73.25</t>
  </si>
  <si>
    <t>Sold Call $80.00 11/15</t>
  </si>
  <si>
    <t>Exercised 11/16</t>
  </si>
  <si>
    <t>Finaly got profit on this let call exercise for full profit of call and profit on stock</t>
  </si>
  <si>
    <t>WDC</t>
  </si>
  <si>
    <t>closed 11/26/24</t>
  </si>
  <si>
    <t>Sold $75 put 6/21</t>
  </si>
  <si>
    <t>Closed</t>
  </si>
  <si>
    <t>Sold Call $80.00 7/26</t>
  </si>
  <si>
    <t>Closed 7/17</t>
  </si>
  <si>
    <t>Sold $80 Put 8/16</t>
  </si>
  <si>
    <t>Closed 11/26/24</t>
  </si>
  <si>
    <t>Put assigned 8/2/24 7.25 off $80 strike</t>
  </si>
  <si>
    <t>GM</t>
  </si>
  <si>
    <t>Closed 5/15</t>
  </si>
  <si>
    <t>Sold Put $50 5/17</t>
  </si>
  <si>
    <t>Closed 7/12</t>
  </si>
  <si>
    <t>requested by perry to close 5/28 at roughly 43.30</t>
  </si>
  <si>
    <t>Sold Call $48 7/26</t>
  </si>
  <si>
    <t>rolled to $48 from $46 6/21 at +- 0</t>
  </si>
  <si>
    <t>PINS</t>
  </si>
  <si>
    <t>Closed 6/18</t>
  </si>
  <si>
    <t>Sold Put $50 5/29</t>
  </si>
  <si>
    <t>Exercised 5/30 closed 6/12</t>
  </si>
  <si>
    <t>Was supposed to close this out but messed up and added another 100 at 44.22</t>
  </si>
  <si>
    <t>Bought Stock</t>
  </si>
  <si>
    <t>Bryan sent a sell order on 11/8/24 at 3:52 stock price is 2983. going to hold a bit longer see if I can regain a little,</t>
  </si>
  <si>
    <t>Sold Put $50 8/16</t>
  </si>
  <si>
    <t>Assigned 7/31/24 for $50 minus the put price of 6.65</t>
  </si>
  <si>
    <t>Sold Call $46 7/19</t>
  </si>
  <si>
    <t>Expired 7/19</t>
  </si>
  <si>
    <t>SYM</t>
  </si>
  <si>
    <t>Closed 7/30/24</t>
  </si>
  <si>
    <t>Sold Put $52.50</t>
  </si>
  <si>
    <t>Excersied 6/12</t>
  </si>
  <si>
    <t>Sold Call $45 8/16</t>
  </si>
  <si>
    <t>Sold Put $85 6/21</t>
  </si>
  <si>
    <t>MMYT</t>
  </si>
  <si>
    <t>Closed 6/6</t>
  </si>
  <si>
    <t>RDDT</t>
  </si>
  <si>
    <t>Closed 9/26</t>
  </si>
  <si>
    <t>Sold Put $70 7/19</t>
  </si>
  <si>
    <t>Closed 7/3</t>
  </si>
  <si>
    <t>Sold Put $80 8/16</t>
  </si>
  <si>
    <t>exercised 8/11</t>
  </si>
  <si>
    <t>Put exercised 8/11 for $70 less value of put $15.05</t>
  </si>
  <si>
    <t>Sold Call $80 8/16</t>
  </si>
  <si>
    <t>Expired 8/16</t>
  </si>
  <si>
    <t>Sold Call $70 10/18</t>
  </si>
  <si>
    <t>TNA</t>
  </si>
  <si>
    <t>Closed 8/26/24</t>
  </si>
  <si>
    <t>Sold Put $40 7/19</t>
  </si>
  <si>
    <t>Closed 7/15</t>
  </si>
  <si>
    <t>Sold Call $40 10/18</t>
  </si>
  <si>
    <t>Closed 7/31/24</t>
  </si>
  <si>
    <t>Rolled to $5 7/15 added .65 Closed to allow more profit for main stock</t>
  </si>
  <si>
    <t>Sold Call $55 9/20</t>
  </si>
  <si>
    <t>New purchase suggested but already had TNA just added the call from the suggestion, tried to add a put but didn't dip enough to get the price I put in.</t>
  </si>
  <si>
    <t>Sold Put $55 9/20</t>
  </si>
  <si>
    <t>Closed 11/7</t>
  </si>
  <si>
    <t>Put assigned 9/10/24 at $55 less the premium -$10.20</t>
  </si>
  <si>
    <t>Sold Call $45 10/18</t>
  </si>
  <si>
    <t>Rolled 10/15/24</t>
  </si>
  <si>
    <t>Rolled $45 call to $47 gained $2.00</t>
  </si>
  <si>
    <t>Sold Call $47 11/15</t>
  </si>
  <si>
    <t>Bought by accident trying to hurry an sell. Closed next day asap</t>
  </si>
  <si>
    <t xml:space="preserve">Bought by mistake while on the rd trying to buy ONON </t>
  </si>
  <si>
    <t>SOXL</t>
  </si>
  <si>
    <t>Bought stock</t>
  </si>
  <si>
    <t>Sold Put $60 8/16</t>
  </si>
  <si>
    <t>Closed 7/10</t>
  </si>
  <si>
    <t xml:space="preserve">Rolled to 5.80 </t>
  </si>
  <si>
    <t>Sold Call $60 8/16</t>
  </si>
  <si>
    <t>Closed 7/29</t>
  </si>
  <si>
    <t>Sold Put $78 8/16</t>
  </si>
  <si>
    <t>NVDL</t>
  </si>
  <si>
    <t>Closed 10/8</t>
  </si>
  <si>
    <t>Put assigned 8/11/24 for $75 less value of put $13</t>
  </si>
  <si>
    <t>Sold Put $$75 8/16</t>
  </si>
  <si>
    <t>Sold Call $75 7/19</t>
  </si>
  <si>
    <t>Sold Call $75 8/16</t>
  </si>
  <si>
    <t>Sold Call $75 9/20</t>
  </si>
  <si>
    <t>Expired 9/20</t>
  </si>
  <si>
    <t>Closed because NVDL is running wanted to capture more profit while its rising</t>
  </si>
  <si>
    <t>Sold Call $65 10/18</t>
  </si>
  <si>
    <t>Reported mixed earnings sold out as it ws going down.</t>
  </si>
  <si>
    <t>ONON</t>
  </si>
  <si>
    <t>Closed 8/13/24</t>
  </si>
  <si>
    <t>Sold Put $45 9/20</t>
  </si>
  <si>
    <t>HOOD</t>
  </si>
  <si>
    <t>Closed 10/28</t>
  </si>
  <si>
    <t>Sold Put $30 11/22</t>
  </si>
  <si>
    <t>Closed 10/16</t>
  </si>
  <si>
    <t>Put assigned 8/5 for $30 less value of put 6.40</t>
  </si>
  <si>
    <t>Sold Put $30 8/16</t>
  </si>
  <si>
    <t>Closed this early worried about what the stock price will be after earnings on 10/30 have good profit don't want to loose it.</t>
  </si>
  <si>
    <t>Sold Call $27 11/15</t>
  </si>
  <si>
    <t>Put assigned 8/7/24 for $80 less value of put $7.00</t>
  </si>
  <si>
    <t>Exercised Stock</t>
  </si>
  <si>
    <t>Closed 11/12</t>
  </si>
  <si>
    <t>Closed at almost max profit best I could have gotten was $410</t>
  </si>
  <si>
    <t>Sold Call $74 10/18</t>
  </si>
  <si>
    <t>Closed 10/10</t>
  </si>
  <si>
    <t>Rolled to 11/15 $77 call as stock was at original call strike fo $74</t>
  </si>
  <si>
    <t>Sold Call $77 11/15</t>
  </si>
  <si>
    <t>Closed as completed covered call trade.</t>
  </si>
  <si>
    <t>D`</t>
  </si>
  <si>
    <t>Closed 10/1</t>
  </si>
  <si>
    <t>Stock moving to slowly or not at all. Sold to use the money where it will hopefully do better. Bryan said to buy at about $57 but stock went down right away waited to buy ast $55</t>
  </si>
  <si>
    <t>OXY</t>
  </si>
  <si>
    <t>Closed 10/2</t>
  </si>
  <si>
    <t>PLTR</t>
  </si>
  <si>
    <t>Closed 9/11</t>
  </si>
  <si>
    <t>Sold Call $35 10/18</t>
  </si>
  <si>
    <t>Stock called away at $42.00</t>
  </si>
  <si>
    <t>GDX</t>
  </si>
  <si>
    <t>Called away 10/20</t>
  </si>
  <si>
    <t xml:space="preserve">Let call be assigned to see what the finacial ramifications are, had stock bought at $37.00 this call should be 100% profit, call strike was $42 </t>
  </si>
  <si>
    <t>Sold Call $42 10/18</t>
  </si>
  <si>
    <t>Assigned 10/20</t>
  </si>
  <si>
    <t>Sold Put $44 11/15</t>
  </si>
  <si>
    <t>MSFU</t>
  </si>
  <si>
    <t>Closed 12/11</t>
  </si>
  <si>
    <t>Sold Put $50 11/15</t>
  </si>
  <si>
    <t>Assigned 11/1 for $50 less value of put $6.60</t>
  </si>
  <si>
    <t>MRVL</t>
  </si>
  <si>
    <t>Closed 11/6</t>
  </si>
  <si>
    <t>Sold Put $80 11/15</t>
  </si>
  <si>
    <t>Sold Call $82.50 11/15</t>
  </si>
  <si>
    <t>Closed call with net credit of 82.50</t>
  </si>
  <si>
    <t>CHWY</t>
  </si>
  <si>
    <t>Closed 11/5</t>
  </si>
  <si>
    <t>Closed per Bryan for non movement</t>
  </si>
  <si>
    <t>Sold Put $35 11/15</t>
  </si>
  <si>
    <t>exercised 10/11/24 $6.40 off 62.50 cost basis is $56.12</t>
  </si>
  <si>
    <t>Sold Put $62.50 11/15</t>
  </si>
  <si>
    <t>D</t>
  </si>
  <si>
    <t>Sold Call $60 11/15</t>
  </si>
  <si>
    <t>bought Stock</t>
  </si>
  <si>
    <t>Sold Call $80 11/15</t>
  </si>
  <si>
    <t>FBL</t>
  </si>
  <si>
    <t>Sold Put $35 12/20</t>
  </si>
  <si>
    <t>Closed 12/4</t>
  </si>
  <si>
    <t>Sold Put $40 2/21</t>
  </si>
  <si>
    <t>IOT</t>
  </si>
  <si>
    <t>Sold Put $55 12/20</t>
  </si>
  <si>
    <t>Closed 11/27</t>
  </si>
  <si>
    <t>Sold Call $55 12/20</t>
  </si>
  <si>
    <t>Closed 12/9</t>
  </si>
  <si>
    <t>Sold Put $46 12/20</t>
  </si>
  <si>
    <t xml:space="preserve">Assigned at $46 - value of put $10.50 </t>
  </si>
  <si>
    <t>Sold Put $85 1/17</t>
  </si>
  <si>
    <t>Sold Call $90 12/20</t>
  </si>
  <si>
    <t>expired 12/20 full profit</t>
  </si>
  <si>
    <t>Sold Put $80 1/17</t>
  </si>
  <si>
    <t>Sold Put $75 1/17</t>
  </si>
  <si>
    <t>Sold Put $60 1/17</t>
  </si>
  <si>
    <t>Took an extra 2 days to close this because it lost ground rather quickly after the call came in on Monday before Thanksgiving to close it at $7.</t>
  </si>
  <si>
    <t>MARA</t>
  </si>
  <si>
    <t>Sold Put $32 1/17</t>
  </si>
  <si>
    <t>NTNX</t>
  </si>
  <si>
    <t>Exercised for 75 less 9.50 makes share cost 65.50</t>
  </si>
  <si>
    <t>AMSC</t>
  </si>
  <si>
    <t>Sold Put $40 1/17</t>
  </si>
  <si>
    <t>Sold Call $40 12/20</t>
  </si>
  <si>
    <t>Sold Put $50 2/21</t>
  </si>
  <si>
    <t>NCLH</t>
  </si>
  <si>
    <t>Sold Put $32  2/21</t>
  </si>
  <si>
    <t>Sold Put $70 1/17</t>
  </si>
  <si>
    <t>CIBR</t>
  </si>
  <si>
    <t xml:space="preserve">Put assigned the night after purchase $70 minus put $6.70 own shares for </t>
  </si>
  <si>
    <t>Sold Put $70  2/21</t>
  </si>
  <si>
    <t>Total invested Bryan Perry</t>
  </si>
  <si>
    <t>Realized gain</t>
  </si>
  <si>
    <t>ETF's that mimic large companies and move faster usually 2 to 3 times faster</t>
  </si>
  <si>
    <t>AAPL, AMZN, AVGO, GOOG, NVDA, META, MSFT, MU, NFLX, TSLA or TSM</t>
  </si>
  <si>
    <t>AAPU, AMZU, AVL,    GGLL,   NVDL,    FBL, MSFU, MUU, NFXL, TSLL or TSMX</t>
  </si>
  <si>
    <t>Stock Purchase Type</t>
  </si>
  <si>
    <t>Expiration Date</t>
  </si>
  <si>
    <t>Total investment</t>
  </si>
  <si>
    <t>Assigned/exercised Y/N</t>
  </si>
  <si>
    <t>Close Date</t>
  </si>
  <si>
    <t>Close Price</t>
  </si>
  <si>
    <t>Realized profit loss</t>
  </si>
  <si>
    <t>Notes2</t>
  </si>
  <si>
    <t>Current Price</t>
  </si>
  <si>
    <t>Current P/L</t>
  </si>
  <si>
    <t>AMZU</t>
  </si>
  <si>
    <t>Sold Put</t>
  </si>
  <si>
    <t>y</t>
  </si>
  <si>
    <t>assigned 3/8/25</t>
  </si>
  <si>
    <t>Sold Call</t>
  </si>
  <si>
    <t>12/19/2025</t>
  </si>
  <si>
    <t>10/28/2025</t>
  </si>
  <si>
    <t>AVL</t>
  </si>
  <si>
    <t>9/5/2025</t>
  </si>
  <si>
    <t>Sold in the money puts based on wishlist tracker</t>
  </si>
  <si>
    <t>Tried to roll both put's but only one rolled on 10/8</t>
  </si>
  <si>
    <t>11/21/2025</t>
  </si>
  <si>
    <t>FOXA</t>
  </si>
  <si>
    <t>10/1/2025</t>
  </si>
  <si>
    <t>Y</t>
  </si>
  <si>
    <t>HSAI</t>
  </si>
  <si>
    <t>9/3/2025</t>
  </si>
  <si>
    <t>10/17/2025</t>
  </si>
  <si>
    <t>IBIT</t>
  </si>
  <si>
    <t>10/9/2025</t>
  </si>
  <si>
    <t>IBKR</t>
  </si>
  <si>
    <t>10/22/2025</t>
  </si>
  <si>
    <t>10/23/2025</t>
  </si>
  <si>
    <t xml:space="preserve">Sold Put </t>
  </si>
  <si>
    <t>assigned 1/17</t>
  </si>
  <si>
    <t>assigned for $32-$9.50 value of put actual cost 22.50</t>
  </si>
  <si>
    <t>assigned 3/12</t>
  </si>
  <si>
    <t>MRX</t>
  </si>
  <si>
    <t>Assigned 06/09/2025</t>
  </si>
  <si>
    <t>Assigned after only a couple days as a sold put</t>
  </si>
  <si>
    <t>QQQI</t>
  </si>
  <si>
    <t>9/23/2025</t>
  </si>
  <si>
    <t>Not a Bryan stock looking to buy as dividend cheaper</t>
  </si>
  <si>
    <t>Assigned 9/25/2025</t>
  </si>
  <si>
    <t>9/19/2025</t>
  </si>
  <si>
    <t>SMCI</t>
  </si>
  <si>
    <t>7/23/2025</t>
  </si>
  <si>
    <t>assinged 9/9/25</t>
  </si>
  <si>
    <t>11/7/2025</t>
  </si>
  <si>
    <t>10/8/2025</t>
  </si>
  <si>
    <t>SMR</t>
  </si>
  <si>
    <t>6/26/2024</t>
  </si>
  <si>
    <t>Bought by mistake while on the rd trying to buy ONON</t>
  </si>
  <si>
    <t>7/10/2024</t>
  </si>
  <si>
    <t>10/10/2025</t>
  </si>
  <si>
    <t>TSLL</t>
  </si>
  <si>
    <t>10/29/2025</t>
  </si>
  <si>
    <t>XMTR</t>
  </si>
  <si>
    <t>9/25/2025</t>
  </si>
  <si>
    <t>11/5/2025</t>
  </si>
  <si>
    <t>n</t>
  </si>
  <si>
    <t>Closed 1/3/25</t>
  </si>
  <si>
    <t>.</t>
  </si>
  <si>
    <t>Closed 1/15/25</t>
  </si>
  <si>
    <t>expired 1/17/25</t>
  </si>
  <si>
    <t>Call expired full profit of $200.00</t>
  </si>
  <si>
    <t>Call expired full profit of $300.00</t>
  </si>
  <si>
    <t>closed 1/21/25</t>
  </si>
  <si>
    <t>Closed per eamil from Bryan 1/12</t>
  </si>
  <si>
    <t>closed 1/23</t>
  </si>
  <si>
    <t xml:space="preserve"> </t>
  </si>
  <si>
    <t>closed 1/21</t>
  </si>
  <si>
    <t>Closed 1/27/25</t>
  </si>
  <si>
    <t>Closed 2/6/25</t>
  </si>
  <si>
    <t>Closed after huge earnings report gained 2500 in morning training reqeusted by Bryan</t>
  </si>
  <si>
    <t>$40 put assigned at $7.20 making stock price $32.80 1/17 Closed after huge earnings report gained 2500 in morning training reqeusted by Bryan</t>
  </si>
  <si>
    <t>DOCS</t>
  </si>
  <si>
    <t>Closed 2/7/25</t>
  </si>
  <si>
    <t>jumped on earnings had 91% gain</t>
  </si>
  <si>
    <t>jumped on earnings most I should have been able to get with the $65 call was $800</t>
  </si>
  <si>
    <t xml:space="preserve">Sold Call </t>
  </si>
  <si>
    <t>Closed 2/18/26</t>
  </si>
  <si>
    <t>TOST</t>
  </si>
  <si>
    <t>Closed 2/19/25</t>
  </si>
  <si>
    <t xml:space="preserve">Closed based on recommendation from Bryan to close at 5.30 </t>
  </si>
  <si>
    <t>AAPU</t>
  </si>
  <si>
    <t>Closed based on Bryans recommendation for 5.10</t>
  </si>
  <si>
    <t>Closed 2/20/25</t>
  </si>
  <si>
    <t>Expired 2/22/25</t>
  </si>
  <si>
    <t>full profit</t>
  </si>
  <si>
    <t>Called away 2/21/25</t>
  </si>
  <si>
    <t>called stock away 2/21/25</t>
  </si>
  <si>
    <t>expired 2/22/25</t>
  </si>
  <si>
    <t>expired 3/21/25</t>
  </si>
  <si>
    <t>called away 3/21/25</t>
  </si>
  <si>
    <t>Expired 3/21/25</t>
  </si>
  <si>
    <t>Closed 4/14/25</t>
  </si>
  <si>
    <t>Had close at $8 in the que sold for $7.95 this morning on a quick shot up.</t>
  </si>
  <si>
    <t>closed 4/25/25</t>
  </si>
  <si>
    <t>Closed 5/2/25</t>
  </si>
  <si>
    <t>I think this was one I did on my own.</t>
  </si>
  <si>
    <t>Closed 5/7/25</t>
  </si>
  <si>
    <t>Bought call</t>
  </si>
  <si>
    <t>closed 5/8/25</t>
  </si>
  <si>
    <t>Day trade closed same day</t>
  </si>
  <si>
    <t>Closed 5/23/25</t>
  </si>
  <si>
    <t>Sold put</t>
  </si>
  <si>
    <t>Expired 5/17.25</t>
  </si>
  <si>
    <t>AU</t>
  </si>
  <si>
    <t>closed 5/29/25</t>
  </si>
  <si>
    <t>AMD</t>
  </si>
  <si>
    <t>nan</t>
  </si>
  <si>
    <t>assigned 3/21/25</t>
  </si>
  <si>
    <t>MP</t>
  </si>
  <si>
    <t>Bought put</t>
  </si>
  <si>
    <t>ARKK</t>
  </si>
  <si>
    <t>Not a Bryan put sale this was from the incite AI recommentation</t>
  </si>
  <si>
    <t>Expired worthless</t>
  </si>
  <si>
    <t>EQT</t>
  </si>
  <si>
    <t>Closed the call early in the hopes of being able to sell another call earlier</t>
  </si>
  <si>
    <t>Assigned 1 day early</t>
  </si>
  <si>
    <t>Called away 1 day early</t>
  </si>
  <si>
    <t>Assigned 4/4/25</t>
  </si>
  <si>
    <t>Kinda working NVDA on my own was advised by Bryan to sell at a loss of about $2500 a couple weeks ago.</t>
  </si>
  <si>
    <t>Assigned 3/19/25</t>
  </si>
  <si>
    <t>Total profit on this nvda trade $1960 less exchange fees</t>
  </si>
  <si>
    <t>expired full loss</t>
  </si>
  <si>
    <t>Was supposed to make a spread by buying the 30 july and selling the 42 july but was off getting groceries so bought the put now hoping to sell the other part if it goes down</t>
  </si>
  <si>
    <t>Expired full proffit</t>
  </si>
  <si>
    <t>Called away</t>
  </si>
  <si>
    <t>Expired and called away stock</t>
  </si>
  <si>
    <t>04/17/2025</t>
  </si>
  <si>
    <t>02/26/2025</t>
  </si>
  <si>
    <t>assigned 3/27/25</t>
  </si>
  <si>
    <t>07/31/2025</t>
  </si>
  <si>
    <t>8/15/2025</t>
  </si>
  <si>
    <t>7/28/2025</t>
  </si>
  <si>
    <t>Bad earnings stock tanked, took profit on sold call</t>
  </si>
  <si>
    <t>8/7/2025</t>
  </si>
  <si>
    <t>Bought Put</t>
  </si>
  <si>
    <t>4/16/2025</t>
  </si>
  <si>
    <t>8/16/2025</t>
  </si>
  <si>
    <t>PSTG</t>
  </si>
  <si>
    <t>2/5/2025</t>
  </si>
  <si>
    <t>8/28/2025</t>
  </si>
  <si>
    <t>Bryan expected me to sell these long ago waited till they made profit</t>
  </si>
  <si>
    <t>3/21/2025</t>
  </si>
  <si>
    <t>Assigned 3/21/2025</t>
  </si>
  <si>
    <t>Bryan said to close this at a $2000 loss a while ago.</t>
  </si>
  <si>
    <t>SOFI</t>
  </si>
  <si>
    <t>8/1/2025</t>
  </si>
  <si>
    <t>7/30/2025</t>
  </si>
  <si>
    <t>Closed a day later than told at .70 more than day before.</t>
  </si>
  <si>
    <t>UGL</t>
  </si>
  <si>
    <t>8/14/2025</t>
  </si>
  <si>
    <t>Sold Puts</t>
  </si>
  <si>
    <t>closed at Bryan's request on a Monday morning</t>
  </si>
  <si>
    <t>9/15/2025</t>
  </si>
  <si>
    <t>MAGS</t>
  </si>
  <si>
    <t>Assigned 8/8/2025</t>
  </si>
  <si>
    <t>9/17/2025</t>
  </si>
  <si>
    <t>8/26/2025</t>
  </si>
  <si>
    <t>Closed in hopes of making more tthan if the stock got called away at $27</t>
  </si>
  <si>
    <t>9/18/2025</t>
  </si>
  <si>
    <t>Added another $1 profit after buying call back</t>
  </si>
  <si>
    <t>9/2/2025</t>
  </si>
  <si>
    <t>Call was assigned</t>
  </si>
  <si>
    <t>9/20/2025</t>
  </si>
  <si>
    <t>Called away for strike of $39 call</t>
  </si>
  <si>
    <t>SOUN</t>
  </si>
  <si>
    <t>8/29/2025</t>
  </si>
  <si>
    <t>hit all time high couple times bryan said close it</t>
  </si>
  <si>
    <t>7/18/2025</t>
  </si>
  <si>
    <t>5/7/2025</t>
  </si>
  <si>
    <t>Assigned 6/11/2025</t>
  </si>
  <si>
    <t>8/20/2025</t>
  </si>
  <si>
    <t>9/24/2025</t>
  </si>
  <si>
    <t>10/13/2025</t>
  </si>
  <si>
    <t>9/29/2025</t>
  </si>
  <si>
    <t>Expired full value achived</t>
  </si>
  <si>
    <t>10/31/2025</t>
  </si>
  <si>
    <t>Tried to close both but got partial fill</t>
  </si>
  <si>
    <t>10/3/2025</t>
  </si>
  <si>
    <t>11/3/2025</t>
  </si>
  <si>
    <t>Completed order from 10/31</t>
  </si>
  <si>
    <t>Bryan wanted it closed at mkt 2.75</t>
  </si>
  <si>
    <t>AAPL AMZN AVGO GOOG NVDA META MSFT MU NFLX TSLA or TSM</t>
  </si>
  <si>
    <t>🏆 TRADING RESULTS DASHBOARD</t>
  </si>
  <si>
    <t>Generated: 11/05/2025 11:59 AM</t>
  </si>
  <si>
    <t>📈 CLOSED TRADES PERFORMANCE</t>
  </si>
  <si>
    <t>Year</t>
  </si>
  <si>
    <t>Total P&amp;L</t>
  </si>
  <si>
    <t>Average P&amp;L %</t>
  </si>
  <si>
    <t>Win Rate</t>
  </si>
  <si>
    <t>Number of Trades</t>
  </si>
  <si>
    <t>TOTAL</t>
  </si>
  <si>
    <t>📊 OPEN TRADES SUMMARY (REAL-TIME)</t>
  </si>
  <si>
    <t>📊 Portfolio Overview</t>
  </si>
  <si>
    <t>Number of Open Trades</t>
  </si>
  <si>
    <t>Total Cash Investment</t>
  </si>
  <si>
    <t>💰 Option Values</t>
  </si>
  <si>
    <t>Total Call Value</t>
  </si>
  <si>
    <t>Total Put Value</t>
  </si>
  <si>
    <t>Cash at Risk (Put Req.)</t>
  </si>
  <si>
    <t>📈 Current Performance</t>
  </si>
  <si>
    <t>Current Unrealized P&amp;L</t>
  </si>
  <si>
    <t>Current P&amp;L %</t>
  </si>
  <si>
    <t>Portfolio Value</t>
  </si>
  <si>
    <t>🎯 Risk Metrics</t>
  </si>
  <si>
    <t>Total Exposure</t>
  </si>
  <si>
    <t>Options Premium Value</t>
  </si>
  <si>
    <t>Net Liquidity</t>
  </si>
  <si>
    <t>📋 POSITION TYPE BREAKDOWN</t>
  </si>
  <si>
    <t>Position Type</t>
  </si>
  <si>
    <t>Count</t>
  </si>
  <si>
    <t>Investment</t>
  </si>
  <si>
    <t>Current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</si>
</sst>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164" formatCode="&quot;$&quot;#,##0.00"/>
    <numFmt numFmtId="165" formatCode="&quot;$&quot;#,##0.00;[Red]&quot;$&quot;#,##0.00"/>
    <numFmt numFmtId="166" formatCode="mm/dd/yyyy"/>
    <numFmt numFmtId="167" formatCode="\$#,##0.00"/>
    <numFmt numFmtId="168" formatCode="0.0%"/>
  </numFmts>
  <fonts count="32" x14ac:knownFonts="1">
    <font>
      <sz val="11"/>
      <color theme="1"/>
      <name val="Aptos Narrow"/>
      <family val="2"/>
      <scheme val="minor"/>
    </font>
    <font>
      <sz val="11"/>
      <color theme="1"/>
      <name val="Aptos Narrow"/>
      <family val="2"/>
      <scheme val="minor"/>
    </font>
    <font>
      <b/>
      <sz val="16"/>
      <color theme="1"/>
      <name val="Aptos Narrow"/>
      <family val="2"/>
      <scheme val="minor"/>
    </font>
    <font>
      <b/>
      <sz val="12"/>
      <color theme="1"/>
      <name val="Aptos Narrow"/>
      <family val="2"/>
      <scheme val="minor"/>
    </font>
    <font>
      <sz val="12"/>
      <color theme="1"/>
      <name val="Aptos Narrow"/>
      <family val="2"/>
      <scheme val="minor"/>
    </font>
    <font>
      <sz val="15"/>
      <color rgb="FF000000"/>
      <name val="Arial"/>
      <family val="2"/>
    </font>
    <font>
      <b/>
      <sz val="11"/>
      <color theme="1"/>
      <name val="Aptos Narrow"/>
      <family val="2"/>
      <scheme val="minor"/>
    </font>
    <font>
      <sz val="16"/>
      <color theme="1"/>
      <name val="Aptos Narrow"/>
      <family val="2"/>
      <scheme val="minor"/>
    </font>
    <font>
      <b/>
      <sz val="12"/>
      <color theme="1"/>
      <name val="Arial"/>
      <family val="2"/>
    </font>
    <font>
      <sz val="12"/>
      <color theme="1"/>
      <name val="Arial"/>
      <family val="2"/>
    </font>
    <font>
      <sz val="12"/>
      <name val="Arial"/>
      <family val="2"/>
    </font>
    <font>
      <sz val="10"/>
      <color theme="1"/>
      <name val="Aptos Narrow"/>
      <family val="2"/>
      <scheme val="minor"/>
    </font>
    <font>
      <sz val="12"/>
      <name val="Arial"/>
      <family val="2"/>
    </font>
    <font>
      <sz val="12"/>
      <color rgb="FFCC0000"/>
      <name val="Arial"/>
      <family val="2"/>
    </font>
    <font>
      <sz val="11"/>
      <name val="Arial"/>
      <family val="2"/>
    </font>
    <font>
      <b/>
      <sz val="12"/>
      <name val="Arial"/>
    </font>
    <font>
      <sz val="12"/>
      <name val="Arial"/>
    </font>
    <font>
      <sz val="12"/>
      <color rgb="FFCC0000"/>
      <name val="Arial"/>
    </font>
    <font>
      <sz val="12"/>
      <color rgb="FF006400"/>
      <name val="Arial"/>
    </font>
    <font>
      <b/>
      <sz val="20"/>
      <color rgb="FFFFFFFF"/>
      <name val="Arial"/>
    </font>
    <font>
      <i/>
      <sz val="10"/>
      <color rgb="FF666666"/>
      <name val="Arial"/>
    </font>
    <font>
      <b/>
      <sz val="16"/>
      <color rgb="FFFFFFFF"/>
      <name val="Arial"/>
    </font>
    <font>
      <b/>
      <sz val="12"/>
      <color rgb="FFFFFFFF"/>
      <name val="Arial"/>
    </font>
    <font>
      <b/>
      <sz val="11"/>
      <name val="Arial"/>
    </font>
    <font>
      <b/>
      <sz val="11"/>
      <color rgb="FF006400"/>
      <name val="Arial"/>
    </font>
    <font>
      <sz val="11"/>
      <name val="Arial"/>
    </font>
    <font>
      <b/>
      <sz val="13"/>
      <color rgb="FFFFFFFF"/>
      <name val="Arial"/>
    </font>
    <font>
      <b/>
      <sz val="11"/>
      <color rgb="FF1F4E79"/>
      <name val="Arial"/>
    </font>
    <font>
      <b/>
      <sz val="11"/>
      <color rgb="FFCC0000"/>
      <name val="Arial"/>
    </font>
    <font>
      <b/>
      <sz val="14"/>
      <color rgb="FFFFFFFF"/>
      <name val="Arial"/>
    </font>
    <font>
      <b/>
      <sz val="11"/>
      <color rgb="FFFFFFFF"/>
      <name val="Arial"/>
    </font>
    <font>
      <sz val="10"/>
      <name val="Arial"/>
    </font>
  </fonts>
  <fills count="16">
    <fill>
      <patternFill patternType="none"/>
    </fill>
    <fill>
      <patternFill patternType="gray125"/>
    </fill>
    <fill>
      <patternFill patternType="solid">
        <fgColor rgb="FFFFC000"/>
        <bgColor indexed="64"/>
      </patternFill>
    </fill>
    <fill>
      <patternFill patternType="solid">
        <fgColor theme="9" tint="0.59999389629810485"/>
        <bgColor indexed="64"/>
      </patternFill>
    </fill>
    <fill>
      <patternFill patternType="solid">
        <fgColor rgb="FF92D050"/>
        <bgColor indexed="64"/>
      </patternFill>
    </fill>
    <fill>
      <patternFill patternType="solid">
        <fgColor rgb="FF1F4E79"/>
        <bgColor rgb="FF1F4E79"/>
      </patternFill>
    </fill>
    <fill>
      <patternFill patternType="solid">
        <fgColor rgb="FF4CAF50"/>
        <bgColor rgb="FF4CAF50"/>
      </patternFill>
    </fill>
    <fill>
      <patternFill patternType="solid">
        <fgColor rgb="FF2196F3"/>
        <bgColor rgb="FF2196F3"/>
      </patternFill>
    </fill>
    <fill>
      <patternFill patternType="solid">
        <fgColor rgb="FFE8F5E8"/>
        <bgColor rgb="FFE8F5E8"/>
      </patternFill>
    </fill>
    <fill>
      <patternFill patternType="solid">
        <fgColor rgb="FFFF9800"/>
        <bgColor rgb="FFFF9800"/>
      </patternFill>
    </fill>
    <fill>
      <patternFill patternType="solid">
        <fgColor rgb="FFE91E63"/>
        <bgColor rgb="FFE91E63"/>
      </patternFill>
    </fill>
    <fill>
      <patternFill patternType="solid">
        <fgColor rgb="FF607D8B"/>
        <bgColor rgb="FF607D8B"/>
      </patternFill>
    </fill>
    <fill>
      <patternFill patternType="solid">
        <fgColor rgb="FFF8F9FA"/>
        <bgColor rgb="FFF8F9FA"/>
      </patternFill>
    </fill>
    <fill>
      <patternFill patternType="solid">
        <fgColor rgb="FFE3F2FD"/>
        <bgColor rgb="FFE3F2FD"/>
      </patternFill>
    </fill>
    <fill>
      <patternFill patternType="solid">
        <fgColor rgb="FFFFF2F2"/>
        <bgColor rgb="FFFFF2F2"/>
      </patternFill>
    </fill>
    <fill>
      <patternFill patternType="solid">
        <fgColor rgb="FF9C27B0"/>
        <bgColor rgb="FF9C27B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s>
  <cellStyleXfs count="3">
    <xf numFmtId="0" fontId="0" fillId="0" borderId="0"/>
    <xf numFmtId="44" fontId="1" fillId="0" borderId="0"/>
    <xf numFmtId="9" fontId="1" fillId="0" borderId="0"/>
  </cellStyleXfs>
  <cellXfs count="124">
    <xf numFmtId="0" fontId="0" fillId="0" borderId="0" xfId="0"/>
    <xf numFmtId="0" fontId="2" fillId="0" borderId="0" xfId="0" applyFont="1"/>
    <xf numFmtId="0" fontId="3" fillId="0" borderId="1" xfId="0" applyFont="1" applyBorder="1"/>
    <xf numFmtId="14" fontId="3" fillId="0" borderId="1" xfId="0" applyNumberFormat="1" applyFont="1" applyBorder="1" applyAlignment="1">
      <alignment wrapText="1"/>
    </xf>
    <xf numFmtId="0" fontId="3" fillId="0" borderId="1" xfId="0" applyFont="1" applyBorder="1" applyAlignment="1">
      <alignment wrapText="1"/>
    </xf>
    <xf numFmtId="0" fontId="4" fillId="0" borderId="0" xfId="0" applyFont="1"/>
    <xf numFmtId="14" fontId="4" fillId="0" borderId="0" xfId="0" applyNumberFormat="1" applyFont="1"/>
    <xf numFmtId="164" fontId="4" fillId="0" borderId="0" xfId="0" applyNumberFormat="1" applyFont="1"/>
    <xf numFmtId="164" fontId="4" fillId="2" borderId="0" xfId="0" applyNumberFormat="1" applyFont="1" applyFill="1"/>
    <xf numFmtId="0" fontId="4" fillId="3" borderId="0" xfId="0" applyFont="1" applyFill="1"/>
    <xf numFmtId="14" fontId="4" fillId="3" borderId="0" xfId="0" applyNumberFormat="1" applyFont="1" applyFill="1"/>
    <xf numFmtId="164" fontId="4" fillId="3" borderId="0" xfId="0" applyNumberFormat="1" applyFont="1" applyFill="1"/>
    <xf numFmtId="9" fontId="4" fillId="3" borderId="0" xfId="2" applyFont="1" applyFill="1"/>
    <xf numFmtId="164" fontId="4" fillId="0" borderId="0" xfId="1" applyNumberFormat="1" applyFont="1"/>
    <xf numFmtId="10" fontId="4" fillId="3" borderId="0" xfId="2" applyNumberFormat="1" applyFont="1" applyFill="1"/>
    <xf numFmtId="0" fontId="4" fillId="4" borderId="0" xfId="0" applyFont="1" applyFill="1"/>
    <xf numFmtId="14" fontId="4" fillId="4" borderId="0" xfId="0" applyNumberFormat="1" applyFont="1" applyFill="1"/>
    <xf numFmtId="164" fontId="4" fillId="4" borderId="0" xfId="0" applyNumberFormat="1" applyFont="1" applyFill="1"/>
    <xf numFmtId="9" fontId="4" fillId="0" borderId="0" xfId="2" applyFont="1"/>
    <xf numFmtId="8" fontId="4" fillId="3" borderId="0" xfId="0" applyNumberFormat="1" applyFont="1" applyFill="1"/>
    <xf numFmtId="164" fontId="0" fillId="0" borderId="0" xfId="0" applyNumberFormat="1"/>
    <xf numFmtId="164" fontId="3" fillId="0" borderId="1" xfId="0" applyNumberFormat="1" applyFont="1" applyBorder="1"/>
    <xf numFmtId="164" fontId="3" fillId="0" borderId="1" xfId="0" applyNumberFormat="1" applyFont="1" applyBorder="1" applyAlignment="1">
      <alignment wrapText="1"/>
    </xf>
    <xf numFmtId="8" fontId="4" fillId="0" borderId="0" xfId="0" applyNumberFormat="1" applyFont="1"/>
    <xf numFmtId="10" fontId="4" fillId="0" borderId="0" xfId="2" applyNumberFormat="1" applyFont="1"/>
    <xf numFmtId="8" fontId="0" fillId="0" borderId="0" xfId="0" applyNumberFormat="1"/>
    <xf numFmtId="10" fontId="4" fillId="0" borderId="0" xfId="0" applyNumberFormat="1" applyFont="1"/>
    <xf numFmtId="165" fontId="4" fillId="3" borderId="0" xfId="0" applyNumberFormat="1" applyFont="1" applyFill="1"/>
    <xf numFmtId="0" fontId="3" fillId="0" borderId="1" xfId="0" applyFont="1" applyBorder="1" applyAlignment="1">
      <alignment horizontal="center" wrapText="1"/>
    </xf>
    <xf numFmtId="0" fontId="5" fillId="0" borderId="0" xfId="0" applyFont="1"/>
    <xf numFmtId="164" fontId="3" fillId="0" borderId="1" xfId="0" applyNumberFormat="1" applyFont="1" applyBorder="1" applyAlignment="1">
      <alignment horizontal="center" wrapText="1"/>
    </xf>
    <xf numFmtId="164" fontId="5" fillId="0" borderId="0" xfId="0" applyNumberFormat="1" applyFont="1"/>
    <xf numFmtId="0" fontId="0" fillId="0" borderId="0" xfId="0" applyAlignment="1">
      <alignment horizontal="center"/>
    </xf>
    <xf numFmtId="166" fontId="0" fillId="0" borderId="0" xfId="0" applyNumberFormat="1"/>
    <xf numFmtId="166" fontId="3" fillId="0" borderId="1" xfId="0" applyNumberFormat="1" applyFont="1" applyBorder="1" applyAlignment="1">
      <alignment horizontal="center" wrapText="1"/>
    </xf>
    <xf numFmtId="9" fontId="1" fillId="0" borderId="0" xfId="2"/>
    <xf numFmtId="0" fontId="7" fillId="0" borderId="0" xfId="0" applyFont="1"/>
    <xf numFmtId="164" fontId="6" fillId="0" borderId="1" xfId="0" applyNumberFormat="1" applyFont="1" applyBorder="1" applyAlignment="1">
      <alignment wrapText="1"/>
    </xf>
    <xf numFmtId="0" fontId="6" fillId="0" borderId="1" xfId="0" applyFont="1" applyBorder="1" applyAlignment="1">
      <alignment wrapText="1"/>
    </xf>
    <xf numFmtId="166" fontId="0" fillId="0" borderId="0" xfId="0" applyNumberFormat="1" applyAlignment="1">
      <alignment horizontal="right"/>
    </xf>
    <xf numFmtId="0" fontId="8" fillId="0" borderId="1" xfId="0" applyFont="1" applyBorder="1" applyAlignment="1">
      <alignment horizontal="center" wrapText="1"/>
    </xf>
    <xf numFmtId="166" fontId="8" fillId="0" borderId="1" xfId="0" applyNumberFormat="1" applyFont="1" applyBorder="1" applyAlignment="1">
      <alignment horizontal="center" wrapText="1"/>
    </xf>
    <xf numFmtId="164" fontId="8" fillId="0" borderId="1" xfId="0" applyNumberFormat="1" applyFont="1" applyBorder="1" applyAlignment="1">
      <alignment horizontal="center" wrapText="1"/>
    </xf>
    <xf numFmtId="0" fontId="8" fillId="0" borderId="1" xfId="0" applyFont="1" applyBorder="1" applyAlignment="1">
      <alignment wrapText="1"/>
    </xf>
    <xf numFmtId="14" fontId="8" fillId="0" borderId="1" xfId="0" applyNumberFormat="1" applyFont="1" applyBorder="1" applyAlignment="1">
      <alignment wrapText="1"/>
    </xf>
    <xf numFmtId="164" fontId="8" fillId="0" borderId="1" xfId="0" applyNumberFormat="1" applyFont="1" applyBorder="1"/>
    <xf numFmtId="164" fontId="8" fillId="0" borderId="1" xfId="0" applyNumberFormat="1" applyFont="1" applyBorder="1" applyAlignment="1">
      <alignment wrapText="1"/>
    </xf>
    <xf numFmtId="0" fontId="8" fillId="0" borderId="1" xfId="0" applyFont="1" applyBorder="1"/>
    <xf numFmtId="9" fontId="9" fillId="0" borderId="1" xfId="2" applyFont="1" applyBorder="1"/>
    <xf numFmtId="0" fontId="9" fillId="0" borderId="0" xfId="0" applyFont="1"/>
    <xf numFmtId="166" fontId="9" fillId="0" borderId="0" xfId="0" applyNumberFormat="1" applyFont="1" applyAlignment="1">
      <alignment horizontal="right"/>
    </xf>
    <xf numFmtId="164" fontId="9" fillId="0" borderId="0" xfId="0" applyNumberFormat="1" applyFont="1"/>
    <xf numFmtId="1" fontId="9" fillId="0" borderId="0" xfId="0" applyNumberFormat="1" applyFont="1" applyAlignment="1">
      <alignment horizontal="right"/>
    </xf>
    <xf numFmtId="166" fontId="9" fillId="0" borderId="0" xfId="0" applyNumberFormat="1" applyFont="1"/>
    <xf numFmtId="8" fontId="9" fillId="0" borderId="0" xfId="0" applyNumberFormat="1" applyFont="1"/>
    <xf numFmtId="9" fontId="9" fillId="0" borderId="0" xfId="0" applyNumberFormat="1" applyFont="1"/>
    <xf numFmtId="0" fontId="9" fillId="0" borderId="0" xfId="0" applyFont="1" applyAlignment="1">
      <alignment horizontal="center"/>
    </xf>
    <xf numFmtId="9" fontId="9" fillId="0" borderId="0" xfId="2" applyFont="1"/>
    <xf numFmtId="6" fontId="9" fillId="0" borderId="0" xfId="0" applyNumberFormat="1" applyFont="1"/>
    <xf numFmtId="0" fontId="0" fillId="0" borderId="0" xfId="0" applyAlignment="1">
      <alignment horizontal="right"/>
    </xf>
    <xf numFmtId="167" fontId="0" fillId="0" borderId="0" xfId="0" applyNumberFormat="1"/>
    <xf numFmtId="1" fontId="0" fillId="0" borderId="0" xfId="0" applyNumberFormat="1"/>
    <xf numFmtId="9" fontId="6" fillId="0" borderId="1" xfId="2" applyFont="1" applyBorder="1"/>
    <xf numFmtId="0" fontId="10" fillId="0" borderId="0" xfId="0" applyFont="1"/>
    <xf numFmtId="166" fontId="10" fillId="0" borderId="0" xfId="0" applyNumberFormat="1" applyFont="1" applyAlignment="1">
      <alignment horizontal="right"/>
    </xf>
    <xf numFmtId="167" fontId="10" fillId="0" borderId="0" xfId="0" applyNumberFormat="1" applyFont="1" applyAlignment="1">
      <alignment horizontal="right"/>
    </xf>
    <xf numFmtId="1" fontId="10" fillId="0" borderId="0" xfId="0" applyNumberFormat="1" applyFont="1" applyAlignment="1">
      <alignment horizontal="right"/>
    </xf>
    <xf numFmtId="0" fontId="10" fillId="0" borderId="0" xfId="0" applyFont="1" applyAlignment="1">
      <alignment horizontal="right"/>
    </xf>
    <xf numFmtId="164" fontId="10" fillId="0" borderId="0" xfId="0" applyNumberFormat="1" applyFont="1" applyAlignment="1">
      <alignment horizontal="right"/>
    </xf>
    <xf numFmtId="9" fontId="10" fillId="0" borderId="0" xfId="0" applyNumberFormat="1" applyFont="1"/>
    <xf numFmtId="0" fontId="11" fillId="0" borderId="0" xfId="0" applyFont="1"/>
    <xf numFmtId="0" fontId="12" fillId="0" borderId="0" xfId="0" applyFont="1" applyAlignment="1">
      <alignment horizontal="center"/>
    </xf>
    <xf numFmtId="167" fontId="13" fillId="0" borderId="0" xfId="0" applyNumberFormat="1" applyFont="1"/>
    <xf numFmtId="167" fontId="9" fillId="0" borderId="0" xfId="0" applyNumberFormat="1" applyFont="1"/>
    <xf numFmtId="1" fontId="9" fillId="0" borderId="0" xfId="0" applyNumberFormat="1" applyFont="1"/>
    <xf numFmtId="0" fontId="9" fillId="0" borderId="0" xfId="0" applyFont="1" applyAlignment="1">
      <alignment horizontal="right"/>
    </xf>
    <xf numFmtId="0" fontId="8" fillId="0" borderId="0" xfId="0" applyFont="1" applyAlignment="1">
      <alignment horizontal="center" wrapText="1"/>
    </xf>
    <xf numFmtId="166" fontId="8" fillId="0" borderId="0" xfId="0" applyNumberFormat="1" applyFont="1" applyAlignment="1">
      <alignment horizontal="center" wrapText="1"/>
    </xf>
    <xf numFmtId="164" fontId="8" fillId="0" borderId="0" xfId="0" applyNumberFormat="1" applyFont="1" applyAlignment="1">
      <alignment horizontal="center" wrapText="1"/>
    </xf>
    <xf numFmtId="0" fontId="8" fillId="0" borderId="0" xfId="0" applyFont="1" applyAlignment="1">
      <alignment wrapText="1"/>
    </xf>
    <xf numFmtId="14" fontId="8" fillId="0" borderId="0" xfId="0" applyNumberFormat="1" applyFont="1" applyAlignment="1">
      <alignment wrapText="1"/>
    </xf>
    <xf numFmtId="164" fontId="8" fillId="0" borderId="0" xfId="0" applyNumberFormat="1" applyFont="1"/>
    <xf numFmtId="164" fontId="8" fillId="0" borderId="0" xfId="0" applyNumberFormat="1" applyFont="1" applyAlignment="1">
      <alignment wrapText="1"/>
    </xf>
    <xf numFmtId="0" fontId="8" fillId="0" borderId="0" xfId="0" applyFont="1"/>
    <xf numFmtId="10" fontId="8" fillId="0" borderId="0" xfId="0" applyNumberFormat="1" applyFont="1" applyAlignment="1">
      <alignment wrapText="1"/>
    </xf>
    <xf numFmtId="14" fontId="0" fillId="0" borderId="0" xfId="0" applyNumberFormat="1" applyAlignment="1">
      <alignment horizontal="right"/>
    </xf>
    <xf numFmtId="0" fontId="14" fillId="0" borderId="0" xfId="0" applyFont="1"/>
    <xf numFmtId="0" fontId="14" fillId="0" borderId="0" xfId="0" applyFont="1" applyAlignment="1">
      <alignment horizontal="right"/>
    </xf>
    <xf numFmtId="167" fontId="14" fillId="0" borderId="0" xfId="0" applyNumberFormat="1" applyFont="1" applyAlignment="1">
      <alignment horizontal="right"/>
    </xf>
    <xf numFmtId="164" fontId="1" fillId="0" borderId="0" xfId="1" applyNumberFormat="1"/>
    <xf numFmtId="0" fontId="10" fillId="0" borderId="0" xfId="0" applyFont="1" applyAlignment="1">
      <alignment horizontal="center"/>
    </xf>
    <xf numFmtId="0" fontId="15" fillId="0" borderId="0" xfId="0" applyFont="1" applyAlignment="1">
      <alignment horizontal="center"/>
    </xf>
    <xf numFmtId="0" fontId="16" fillId="0" borderId="0" xfId="0" applyFont="1"/>
    <xf numFmtId="0" fontId="16" fillId="0" borderId="0" xfId="0" applyFont="1" applyAlignment="1">
      <alignment horizontal="right"/>
    </xf>
    <xf numFmtId="167" fontId="16" fillId="0" borderId="0" xfId="0" applyNumberFormat="1" applyFont="1" applyAlignment="1">
      <alignment horizontal="right"/>
    </xf>
    <xf numFmtId="9" fontId="16" fillId="0" borderId="0" xfId="0" applyNumberFormat="1" applyFont="1"/>
    <xf numFmtId="167" fontId="17" fillId="0" borderId="0" xfId="0" applyNumberFormat="1" applyFont="1"/>
    <xf numFmtId="167" fontId="18" fillId="0" borderId="0" xfId="0" applyNumberFormat="1" applyFont="1"/>
    <xf numFmtId="0" fontId="22" fillId="7" borderId="2" xfId="0" applyFont="1" applyFill="1" applyBorder="1" applyAlignment="1">
      <alignment horizontal="center"/>
    </xf>
    <xf numFmtId="0" fontId="23" fillId="0" borderId="2" xfId="0" applyFont="1" applyBorder="1"/>
    <xf numFmtId="167" fontId="24" fillId="8" borderId="2" xfId="0" applyNumberFormat="1" applyFont="1" applyFill="1" applyBorder="1"/>
    <xf numFmtId="168" fontId="25" fillId="0" borderId="2" xfId="0" applyNumberFormat="1" applyFont="1" applyBorder="1"/>
    <xf numFmtId="168" fontId="25" fillId="8" borderId="2" xfId="0" applyNumberFormat="1" applyFont="1" applyFill="1" applyBorder="1"/>
    <xf numFmtId="0" fontId="25" fillId="0" borderId="2" xfId="0" applyFont="1" applyBorder="1"/>
    <xf numFmtId="0" fontId="15" fillId="0" borderId="2" xfId="0" applyFont="1" applyBorder="1"/>
    <xf numFmtId="167" fontId="22" fillId="6" borderId="2" xfId="0" applyNumberFormat="1" applyFont="1" applyFill="1" applyBorder="1"/>
    <xf numFmtId="168" fontId="22" fillId="9" borderId="2" xfId="0" applyNumberFormat="1" applyFont="1" applyFill="1" applyBorder="1"/>
    <xf numFmtId="0" fontId="22" fillId="9" borderId="2" xfId="0" applyFont="1" applyFill="1" applyBorder="1"/>
    <xf numFmtId="0" fontId="23" fillId="12" borderId="2" xfId="0" applyFont="1" applyFill="1" applyBorder="1"/>
    <xf numFmtId="0" fontId="27" fillId="13" borderId="2" xfId="0" applyFont="1" applyFill="1" applyBorder="1"/>
    <xf numFmtId="167" fontId="23" fillId="8" borderId="2" xfId="0" applyNumberFormat="1" applyFont="1" applyFill="1" applyBorder="1"/>
    <xf numFmtId="167" fontId="28" fillId="14" borderId="2" xfId="0" applyNumberFormat="1" applyFont="1" applyFill="1" applyBorder="1"/>
    <xf numFmtId="168" fontId="28" fillId="14" borderId="2" xfId="0" applyNumberFormat="1" applyFont="1" applyFill="1" applyBorder="1"/>
    <xf numFmtId="167" fontId="23" fillId="0" borderId="2" xfId="0" applyNumberFormat="1" applyFont="1" applyBorder="1"/>
    <xf numFmtId="0" fontId="30" fillId="11" borderId="2" xfId="0" applyFont="1" applyFill="1" applyBorder="1" applyAlignment="1">
      <alignment horizontal="center"/>
    </xf>
    <xf numFmtId="0" fontId="31" fillId="0" borderId="2" xfId="0" applyFont="1" applyBorder="1"/>
    <xf numFmtId="167" fontId="31" fillId="0" borderId="2" xfId="0" applyNumberFormat="1" applyFont="1" applyBorder="1"/>
    <xf numFmtId="0" fontId="26" fillId="11" borderId="2" xfId="0" applyFont="1" applyFill="1" applyBorder="1" applyAlignment="1">
      <alignment horizontal="center"/>
    </xf>
    <xf numFmtId="0" fontId="0" fillId="0" borderId="0" xfId="0"/>
    <xf numFmtId="0" fontId="19" fillId="5" borderId="2" xfId="0" applyFont="1" applyFill="1" applyBorder="1" applyAlignment="1">
      <alignment horizontal="center"/>
    </xf>
    <xf numFmtId="0" fontId="21" fillId="10" borderId="2" xfId="0" applyFont="1" applyFill="1" applyBorder="1" applyAlignment="1">
      <alignment horizontal="center"/>
    </xf>
    <xf numFmtId="0" fontId="29" fillId="15" borderId="2" xfId="0" applyFont="1" applyFill="1" applyBorder="1" applyAlignment="1">
      <alignment horizontal="center"/>
    </xf>
    <xf numFmtId="0" fontId="20" fillId="0" borderId="2" xfId="0" applyFont="1" applyBorder="1" applyAlignment="1">
      <alignment horizontal="center"/>
    </xf>
    <xf numFmtId="0" fontId="21" fillId="6" borderId="2" xfId="0" applyFont="1" applyFill="1" applyBorder="1" applyAlignment="1">
      <alignment horizontal="center"/>
    </xf>
  </cellXfs>
  <cellStyles count="3">
    <cellStyle name="Currency" xfId="1" builtinId="4"/>
    <cellStyle name="Normal" xfId="0" builtinId="0"/>
    <cellStyle name="Percent" xfId="2"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160"/>
  <sheetViews>
    <sheetView topLeftCell="E1" workbookViewId="0">
      <pane ySplit="2" topLeftCell="A105" activePane="bottomLeft" state="frozen"/>
      <selection pane="bottomLeft" activeCell="G101" sqref="G101"/>
    </sheetView>
  </sheetViews>
  <sheetFormatPr defaultRowHeight="15" x14ac:dyDescent="0.25"/>
  <cols>
    <col min="2" max="2" width="19.42578125" customWidth="1"/>
    <col min="3" max="3" width="9.42578125" style="20" customWidth="1"/>
    <col min="4" max="4" width="11.5703125" customWidth="1"/>
    <col min="5" max="5" width="12.5703125" customWidth="1"/>
    <col min="7" max="7" width="9.140625" style="20" customWidth="1"/>
    <col min="8" max="11" width="14.5703125" customWidth="1"/>
    <col min="12" max="12" width="14" customWidth="1"/>
    <col min="13" max="13" width="13.5703125" style="20" customWidth="1"/>
    <col min="14" max="14" width="15.42578125" customWidth="1"/>
    <col min="15" max="15" width="11" customWidth="1"/>
    <col min="16" max="16" width="46.140625" customWidth="1"/>
  </cols>
  <sheetData>
    <row r="1" spans="2:16" ht="21" customHeight="1" x14ac:dyDescent="0.35">
      <c r="D1" s="1" t="s">
        <v>0</v>
      </c>
    </row>
    <row r="2" spans="2:16" ht="63" customHeight="1" x14ac:dyDescent="0.25">
      <c r="B2" s="28" t="s">
        <v>1</v>
      </c>
      <c r="C2" s="30" t="s">
        <v>2</v>
      </c>
      <c r="D2" s="2" t="s">
        <v>3</v>
      </c>
      <c r="E2" s="3" t="s">
        <v>4</v>
      </c>
      <c r="F2" s="4" t="s">
        <v>5</v>
      </c>
      <c r="G2" s="21" t="s">
        <v>6</v>
      </c>
      <c r="H2" s="4" t="s">
        <v>7</v>
      </c>
      <c r="I2" s="4" t="s">
        <v>8</v>
      </c>
      <c r="J2" s="4" t="s">
        <v>9</v>
      </c>
      <c r="K2" s="4" t="s">
        <v>10</v>
      </c>
      <c r="L2" s="2" t="s">
        <v>11</v>
      </c>
      <c r="M2" s="22" t="s">
        <v>12</v>
      </c>
      <c r="N2" s="4" t="s">
        <v>13</v>
      </c>
      <c r="O2" s="2" t="s">
        <v>14</v>
      </c>
      <c r="P2" s="4" t="s">
        <v>11</v>
      </c>
    </row>
    <row r="3" spans="2:16" ht="15.75" customHeight="1" x14ac:dyDescent="0.25">
      <c r="B3" s="9" t="s">
        <v>15</v>
      </c>
      <c r="C3" s="11"/>
      <c r="D3" s="9" t="s">
        <v>16</v>
      </c>
      <c r="E3" s="10">
        <v>45384</v>
      </c>
      <c r="F3" s="9">
        <v>100</v>
      </c>
      <c r="G3" s="11">
        <v>59.84</v>
      </c>
      <c r="H3" s="8"/>
      <c r="I3" s="8"/>
      <c r="J3" s="8"/>
      <c r="K3" s="8"/>
      <c r="L3" s="9" t="s">
        <v>17</v>
      </c>
      <c r="M3" s="11">
        <v>63.94</v>
      </c>
      <c r="N3" s="11">
        <f>ABS(G3-M3)*100</f>
        <v>409.99999999999943</v>
      </c>
      <c r="O3" s="12">
        <f>1-(G3/M3)</f>
        <v>6.4122614951516943E-2</v>
      </c>
    </row>
    <row r="4" spans="2:16" ht="15.75" customHeight="1" x14ac:dyDescent="0.25">
      <c r="B4" s="9" t="s">
        <v>15</v>
      </c>
      <c r="C4" s="11"/>
      <c r="D4" s="9" t="s">
        <v>18</v>
      </c>
      <c r="E4" s="10">
        <v>45390</v>
      </c>
      <c r="F4" s="9">
        <v>100</v>
      </c>
      <c r="G4" s="11">
        <v>45.35</v>
      </c>
      <c r="H4" s="8"/>
      <c r="I4" s="8"/>
      <c r="J4" s="8"/>
      <c r="K4" s="8"/>
      <c r="L4" s="9" t="s">
        <v>19</v>
      </c>
      <c r="M4" s="11">
        <v>45.6</v>
      </c>
      <c r="N4" s="11">
        <f>ABS(G4-M4)*100</f>
        <v>25</v>
      </c>
      <c r="O4" s="12">
        <f>1-(G4/M4)</f>
        <v>5.482456140350922E-3</v>
      </c>
      <c r="P4" t="s">
        <v>20</v>
      </c>
    </row>
    <row r="5" spans="2:16" ht="15.75" customHeight="1" x14ac:dyDescent="0.25">
      <c r="B5" s="5" t="s">
        <v>21</v>
      </c>
      <c r="C5" s="7"/>
      <c r="D5" s="5" t="s">
        <v>18</v>
      </c>
      <c r="E5" s="6">
        <v>45390</v>
      </c>
      <c r="F5" s="5">
        <v>100</v>
      </c>
      <c r="G5" s="7">
        <v>43.75</v>
      </c>
      <c r="H5" s="8"/>
      <c r="I5" s="8"/>
      <c r="J5" s="8"/>
      <c r="K5" s="8"/>
      <c r="L5" s="5" t="s">
        <v>19</v>
      </c>
      <c r="M5" s="7">
        <v>45.6</v>
      </c>
      <c r="N5" s="7">
        <f>ABS(G5-M5)*100</f>
        <v>185.00000000000014</v>
      </c>
      <c r="O5" s="18">
        <f>1-(G5/M5)</f>
        <v>4.0570175438596534E-2</v>
      </c>
      <c r="P5" t="s">
        <v>22</v>
      </c>
    </row>
    <row r="6" spans="2:16" ht="15.75" customHeight="1" x14ac:dyDescent="0.25">
      <c r="B6" s="5" t="s">
        <v>23</v>
      </c>
      <c r="C6" s="7"/>
      <c r="D6" s="5" t="s">
        <v>18</v>
      </c>
      <c r="E6" s="6">
        <v>45408</v>
      </c>
      <c r="F6" s="5">
        <v>-100</v>
      </c>
      <c r="G6" s="7">
        <v>1</v>
      </c>
      <c r="H6" s="8"/>
      <c r="I6" s="8"/>
      <c r="J6" s="8"/>
      <c r="K6" s="8"/>
      <c r="L6" s="5" t="s">
        <v>24</v>
      </c>
      <c r="M6" s="7"/>
      <c r="N6" s="7">
        <f>G6*ABS(F6)</f>
        <v>100</v>
      </c>
      <c r="O6" s="18">
        <v>1</v>
      </c>
      <c r="P6" t="s">
        <v>25</v>
      </c>
    </row>
    <row r="7" spans="2:16" ht="15.75" customHeight="1" x14ac:dyDescent="0.25">
      <c r="B7" s="9" t="s">
        <v>15</v>
      </c>
      <c r="C7" s="11"/>
      <c r="D7" s="9" t="s">
        <v>26</v>
      </c>
      <c r="E7" s="10">
        <v>45392</v>
      </c>
      <c r="F7" s="9">
        <v>100</v>
      </c>
      <c r="G7" s="11">
        <v>78.25</v>
      </c>
      <c r="H7" s="8"/>
      <c r="I7" s="8"/>
      <c r="J7" s="8"/>
      <c r="K7" s="8"/>
      <c r="L7" s="9" t="s">
        <v>27</v>
      </c>
      <c r="M7" s="11">
        <v>80</v>
      </c>
      <c r="N7" s="11">
        <f>ABS(M7-G7)*100</f>
        <v>175</v>
      </c>
      <c r="O7" s="12">
        <f>1-(G7/M7)</f>
        <v>2.1874999999999978E-2</v>
      </c>
      <c r="P7" t="s">
        <v>28</v>
      </c>
    </row>
    <row r="8" spans="2:16" ht="15.75" customHeight="1" x14ac:dyDescent="0.25">
      <c r="B8" s="5" t="s">
        <v>29</v>
      </c>
      <c r="C8" s="7"/>
      <c r="D8" s="5" t="s">
        <v>26</v>
      </c>
      <c r="E8" s="6">
        <v>45392</v>
      </c>
      <c r="F8" s="5">
        <v>100</v>
      </c>
      <c r="G8" s="7">
        <v>73.25</v>
      </c>
      <c r="H8" s="8"/>
      <c r="I8" s="8"/>
      <c r="J8" s="8"/>
      <c r="K8" s="8"/>
      <c r="L8" s="5" t="s">
        <v>30</v>
      </c>
      <c r="M8" s="7">
        <v>80</v>
      </c>
      <c r="N8" s="11">
        <f>ABS(G8-M8)*100</f>
        <v>675</v>
      </c>
      <c r="O8" s="12">
        <f>1-(G8/M8)</f>
        <v>8.4374999999999978E-2</v>
      </c>
      <c r="P8" t="s">
        <v>31</v>
      </c>
    </row>
    <row r="9" spans="2:16" ht="15.75" customHeight="1" x14ac:dyDescent="0.25">
      <c r="B9" s="5" t="s">
        <v>32</v>
      </c>
      <c r="C9" s="7"/>
      <c r="D9" s="5" t="s">
        <v>26</v>
      </c>
      <c r="E9" s="6">
        <v>45581</v>
      </c>
      <c r="F9" s="5">
        <v>-200</v>
      </c>
      <c r="G9" s="7">
        <v>2.5</v>
      </c>
      <c r="H9" s="8"/>
      <c r="I9" s="8"/>
      <c r="J9" s="8"/>
      <c r="K9" s="8"/>
      <c r="L9" s="5" t="s">
        <v>33</v>
      </c>
      <c r="M9" s="7"/>
      <c r="N9" s="7">
        <v>500</v>
      </c>
      <c r="O9" s="18">
        <v>1</v>
      </c>
      <c r="P9" s="20" t="s">
        <v>34</v>
      </c>
    </row>
    <row r="10" spans="2:16" ht="15.75" customHeight="1" x14ac:dyDescent="0.25">
      <c r="B10" s="9" t="s">
        <v>15</v>
      </c>
      <c r="C10" s="11"/>
      <c r="D10" s="9" t="s">
        <v>35</v>
      </c>
      <c r="E10" s="10">
        <v>45406</v>
      </c>
      <c r="F10" s="9">
        <v>100</v>
      </c>
      <c r="G10" s="11">
        <v>68.900000000000006</v>
      </c>
      <c r="H10" s="8"/>
      <c r="I10" s="8"/>
      <c r="J10" s="8"/>
      <c r="K10" s="8"/>
      <c r="L10" s="9" t="s">
        <v>36</v>
      </c>
      <c r="M10" s="11">
        <v>72</v>
      </c>
      <c r="N10" s="11">
        <f>ABS(M10-G10)*100</f>
        <v>309.99999999999943</v>
      </c>
      <c r="O10" s="12">
        <f>1-(G10/M10)</f>
        <v>4.3055555555555514E-2</v>
      </c>
    </row>
    <row r="11" spans="2:16" ht="15.75" customHeight="1" x14ac:dyDescent="0.25">
      <c r="B11" s="5" t="s">
        <v>37</v>
      </c>
      <c r="C11" s="7"/>
      <c r="D11" s="5" t="s">
        <v>35</v>
      </c>
      <c r="E11" s="6">
        <v>45406</v>
      </c>
      <c r="F11" s="5">
        <v>-100</v>
      </c>
      <c r="G11" s="7">
        <v>8.8000000000000007</v>
      </c>
      <c r="H11" s="8"/>
      <c r="I11" s="8"/>
      <c r="J11" s="8"/>
      <c r="K11" s="8"/>
      <c r="L11" s="5" t="s">
        <v>38</v>
      </c>
      <c r="M11" s="7">
        <v>0.4</v>
      </c>
      <c r="N11" s="7">
        <f>(G11-M11)*200</f>
        <v>1680</v>
      </c>
      <c r="O11" s="18">
        <f>1-(M11/G11)</f>
        <v>0.95454545454545459</v>
      </c>
    </row>
    <row r="12" spans="2:16" ht="15.75" customHeight="1" x14ac:dyDescent="0.25">
      <c r="B12" s="5" t="s">
        <v>39</v>
      </c>
      <c r="C12" s="7"/>
      <c r="D12" s="5" t="s">
        <v>35</v>
      </c>
      <c r="E12" s="6">
        <v>45460</v>
      </c>
      <c r="F12" s="5">
        <v>-100</v>
      </c>
      <c r="G12" s="7">
        <v>4.08</v>
      </c>
      <c r="H12" s="8"/>
      <c r="I12" s="8"/>
      <c r="J12" s="8"/>
      <c r="K12" s="8"/>
      <c r="L12" s="5" t="s">
        <v>40</v>
      </c>
      <c r="M12" s="7">
        <v>0.2</v>
      </c>
      <c r="N12" s="7">
        <f>(G12-M12)*200</f>
        <v>776</v>
      </c>
      <c r="O12" s="18">
        <f>1-(M12/G12)</f>
        <v>0.9509803921568627</v>
      </c>
    </row>
    <row r="13" spans="2:16" ht="15.75" customHeight="1" x14ac:dyDescent="0.25">
      <c r="B13" s="5" t="s">
        <v>41</v>
      </c>
      <c r="C13" s="7"/>
      <c r="D13" s="5" t="s">
        <v>35</v>
      </c>
      <c r="E13" s="6">
        <v>45469</v>
      </c>
      <c r="F13" s="5">
        <v>100</v>
      </c>
      <c r="G13" s="7">
        <v>72.75</v>
      </c>
      <c r="H13" s="8"/>
      <c r="I13" s="8"/>
      <c r="J13" s="8"/>
      <c r="K13" s="8"/>
      <c r="L13" s="5" t="s">
        <v>42</v>
      </c>
      <c r="M13" s="7">
        <v>72</v>
      </c>
      <c r="N13" s="11">
        <f>(M13-G13)*100</f>
        <v>-75</v>
      </c>
      <c r="O13" s="12">
        <f>1-(G13/M13)</f>
        <v>-1.0416666666666741E-2</v>
      </c>
      <c r="P13" t="s">
        <v>43</v>
      </c>
    </row>
    <row r="14" spans="2:16" ht="15.75" customHeight="1" x14ac:dyDescent="0.25">
      <c r="B14" s="9" t="s">
        <v>15</v>
      </c>
      <c r="C14" s="11"/>
      <c r="D14" s="9" t="s">
        <v>44</v>
      </c>
      <c r="E14" s="10">
        <v>45420</v>
      </c>
      <c r="F14" s="9">
        <v>100</v>
      </c>
      <c r="G14" s="11">
        <v>45.35</v>
      </c>
      <c r="H14" s="8"/>
      <c r="I14" s="8"/>
      <c r="J14" s="8"/>
      <c r="K14" s="8"/>
      <c r="L14" s="9" t="s">
        <v>45</v>
      </c>
      <c r="M14" s="11">
        <v>45.45</v>
      </c>
      <c r="N14" s="19">
        <f>(M14-G14)*F14</f>
        <v>10.000000000000142</v>
      </c>
      <c r="O14" s="14">
        <f>1-(G14/M14)</f>
        <v>2.2002200220022639E-3</v>
      </c>
    </row>
    <row r="15" spans="2:16" ht="15.75" customHeight="1" x14ac:dyDescent="0.25">
      <c r="B15" s="5" t="s">
        <v>46</v>
      </c>
      <c r="C15" s="7"/>
      <c r="D15" s="5" t="s">
        <v>44</v>
      </c>
      <c r="E15" s="6">
        <v>45420</v>
      </c>
      <c r="F15" s="5">
        <v>100</v>
      </c>
      <c r="G15" s="7">
        <v>45.15</v>
      </c>
      <c r="H15" s="8"/>
      <c r="I15" s="8"/>
      <c r="J15" s="8"/>
      <c r="K15" s="8"/>
      <c r="L15" s="5" t="s">
        <v>47</v>
      </c>
      <c r="M15" s="7">
        <v>48.55</v>
      </c>
      <c r="N15" s="23">
        <f>(M15-G15)*F15</f>
        <v>339.99999999999989</v>
      </c>
      <c r="O15" s="24">
        <f>1-(G15/M15)</f>
        <v>7.0030895983522079E-2</v>
      </c>
      <c r="P15" t="s">
        <v>48</v>
      </c>
    </row>
    <row r="16" spans="2:16" ht="15.75" customHeight="1" x14ac:dyDescent="0.25">
      <c r="B16" s="5" t="s">
        <v>49</v>
      </c>
      <c r="C16" s="7"/>
      <c r="D16" s="5" t="s">
        <v>44</v>
      </c>
      <c r="E16" s="6">
        <v>45453</v>
      </c>
      <c r="F16" s="5">
        <v>-100</v>
      </c>
      <c r="G16" s="7">
        <v>1.2</v>
      </c>
      <c r="H16" s="8"/>
      <c r="I16" s="8"/>
      <c r="J16" s="8"/>
      <c r="K16" s="8"/>
      <c r="L16" s="5" t="s">
        <v>47</v>
      </c>
      <c r="M16" s="7">
        <v>1.77</v>
      </c>
      <c r="N16" s="7">
        <f>(G16-M16)*100</f>
        <v>-57.000000000000007</v>
      </c>
      <c r="O16" s="18">
        <v>-0.32</v>
      </c>
      <c r="P16" t="s">
        <v>50</v>
      </c>
    </row>
    <row r="17" spans="2:16" ht="15.75" customHeight="1" x14ac:dyDescent="0.25">
      <c r="B17" s="9" t="s">
        <v>15</v>
      </c>
      <c r="C17" s="11"/>
      <c r="D17" s="9" t="s">
        <v>51</v>
      </c>
      <c r="E17" s="10">
        <v>45441</v>
      </c>
      <c r="F17" s="9">
        <v>100</v>
      </c>
      <c r="G17" s="11">
        <v>42</v>
      </c>
      <c r="H17" s="8"/>
      <c r="I17" s="8"/>
      <c r="J17" s="8"/>
      <c r="K17" s="8"/>
      <c r="L17" s="9" t="s">
        <v>52</v>
      </c>
      <c r="M17" s="11">
        <v>44.6</v>
      </c>
      <c r="N17" s="11">
        <f>ABS(G17-M17)*100</f>
        <v>260.00000000000011</v>
      </c>
      <c r="O17" s="12">
        <f>1-(G17/M17)</f>
        <v>5.8295964125560595E-2</v>
      </c>
    </row>
    <row r="18" spans="2:16" ht="15.75" customHeight="1" x14ac:dyDescent="0.25">
      <c r="B18" s="5" t="s">
        <v>53</v>
      </c>
      <c r="C18" s="7"/>
      <c r="D18" s="5" t="s">
        <v>51</v>
      </c>
      <c r="E18" s="6">
        <v>45441</v>
      </c>
      <c r="F18" s="5">
        <v>100</v>
      </c>
      <c r="G18" s="7">
        <v>41.5</v>
      </c>
      <c r="H18" s="8"/>
      <c r="I18" s="8"/>
      <c r="J18" s="8"/>
      <c r="K18" s="8"/>
      <c r="L18" s="5" t="s">
        <v>54</v>
      </c>
      <c r="M18" s="7">
        <v>43.85</v>
      </c>
      <c r="N18" s="7">
        <f>ABS(G18-M18)*100</f>
        <v>235.00000000000014</v>
      </c>
      <c r="O18" s="18">
        <f>1-(G18/M18)</f>
        <v>5.3591790193842637E-2</v>
      </c>
      <c r="P18" t="s">
        <v>55</v>
      </c>
    </row>
    <row r="19" spans="2:16" ht="15.75" customHeight="1" x14ac:dyDescent="0.25">
      <c r="B19" s="9" t="s">
        <v>56</v>
      </c>
      <c r="C19" s="11"/>
      <c r="D19" s="9" t="s">
        <v>51</v>
      </c>
      <c r="E19" s="10">
        <v>45455</v>
      </c>
      <c r="F19" s="9">
        <v>100</v>
      </c>
      <c r="G19" s="11">
        <v>44.22</v>
      </c>
      <c r="H19" s="11">
        <f>F19*G19</f>
        <v>4422</v>
      </c>
      <c r="I19" s="11"/>
      <c r="J19" s="11"/>
      <c r="K19" s="11"/>
      <c r="L19" s="9"/>
      <c r="M19" s="11"/>
      <c r="N19" s="11"/>
      <c r="O19" s="12"/>
      <c r="P19" t="s">
        <v>57</v>
      </c>
    </row>
    <row r="20" spans="2:16" ht="15.75" customHeight="1" x14ac:dyDescent="0.25">
      <c r="B20" s="5" t="s">
        <v>58</v>
      </c>
      <c r="C20" s="7"/>
      <c r="D20" s="5" t="s">
        <v>51</v>
      </c>
      <c r="E20" s="6">
        <v>45463</v>
      </c>
      <c r="F20" s="5">
        <v>100</v>
      </c>
      <c r="G20" s="7">
        <v>43.35</v>
      </c>
      <c r="H20" s="11">
        <f>F20*G20</f>
        <v>4335</v>
      </c>
      <c r="I20" s="11"/>
      <c r="J20" s="11"/>
      <c r="K20" s="11"/>
      <c r="L20" s="5"/>
      <c r="M20" s="7"/>
      <c r="N20" s="7"/>
      <c r="O20" s="18"/>
      <c r="P20" t="s">
        <v>59</v>
      </c>
    </row>
    <row r="21" spans="2:16" ht="15.75" customHeight="1" x14ac:dyDescent="0.25">
      <c r="B21" s="5" t="s">
        <v>60</v>
      </c>
      <c r="C21" s="7"/>
      <c r="D21" s="5" t="s">
        <v>51</v>
      </c>
      <c r="E21" s="6">
        <v>45468</v>
      </c>
      <c r="F21" s="5">
        <v>-100</v>
      </c>
      <c r="G21" s="7">
        <v>1</v>
      </c>
      <c r="H21" s="8"/>
      <c r="I21" s="8"/>
      <c r="J21" s="8"/>
      <c r="K21" s="8"/>
      <c r="L21" s="5" t="s">
        <v>61</v>
      </c>
      <c r="M21" s="7"/>
      <c r="N21" s="7">
        <f>G21*ABS(F21)</f>
        <v>100</v>
      </c>
      <c r="O21" s="18">
        <v>1</v>
      </c>
      <c r="P21" t="s">
        <v>25</v>
      </c>
    </row>
    <row r="22" spans="2:16" ht="15.75" customHeight="1" x14ac:dyDescent="0.25">
      <c r="B22" s="9" t="s">
        <v>15</v>
      </c>
      <c r="C22" s="11"/>
      <c r="D22" s="9" t="s">
        <v>62</v>
      </c>
      <c r="E22" s="10">
        <v>45427</v>
      </c>
      <c r="F22" s="9">
        <v>100</v>
      </c>
      <c r="G22" s="11">
        <v>45.95</v>
      </c>
      <c r="H22" s="8"/>
      <c r="I22" s="8"/>
      <c r="J22" s="8"/>
      <c r="K22" s="8"/>
      <c r="L22" s="9" t="s">
        <v>63</v>
      </c>
      <c r="M22" s="11">
        <v>28.61</v>
      </c>
      <c r="N22" s="11">
        <f>(M22-G22)*100</f>
        <v>-1734.0000000000005</v>
      </c>
      <c r="O22" s="12">
        <f>1-(G22/M22)</f>
        <v>-0.60608178958406156</v>
      </c>
    </row>
    <row r="23" spans="2:16" ht="15.75" customHeight="1" x14ac:dyDescent="0.25">
      <c r="B23" s="5" t="s">
        <v>64</v>
      </c>
      <c r="C23" s="7"/>
      <c r="D23" s="5" t="s">
        <v>62</v>
      </c>
      <c r="E23" s="6">
        <v>45428</v>
      </c>
      <c r="F23" s="5">
        <v>100</v>
      </c>
      <c r="G23" s="7">
        <v>45</v>
      </c>
      <c r="H23" s="8"/>
      <c r="I23" s="8"/>
      <c r="J23" s="8"/>
      <c r="K23" s="8"/>
      <c r="L23" s="5" t="s">
        <v>63</v>
      </c>
      <c r="M23" s="7">
        <v>28.61</v>
      </c>
      <c r="N23" s="11">
        <f>(M23-G23)*100</f>
        <v>-1639</v>
      </c>
      <c r="O23" s="12">
        <f>1-(G23/M23)</f>
        <v>-0.57287661656763378</v>
      </c>
      <c r="P23" s="5" t="s">
        <v>65</v>
      </c>
    </row>
    <row r="24" spans="2:16" ht="15.75" customHeight="1" x14ac:dyDescent="0.25">
      <c r="B24" s="5" t="s">
        <v>66</v>
      </c>
      <c r="C24" s="7"/>
      <c r="D24" s="5" t="s">
        <v>62</v>
      </c>
      <c r="E24" s="6">
        <v>45488</v>
      </c>
      <c r="F24" s="5">
        <v>-200</v>
      </c>
      <c r="G24" s="7">
        <v>2</v>
      </c>
      <c r="H24" s="8"/>
      <c r="I24" s="8"/>
      <c r="J24" s="8"/>
      <c r="K24" s="8"/>
      <c r="L24" s="5" t="s">
        <v>63</v>
      </c>
      <c r="M24" s="7">
        <v>0.1</v>
      </c>
      <c r="N24" s="7">
        <f>(G24-M24)*200</f>
        <v>380</v>
      </c>
      <c r="O24" s="18">
        <f>1-(M24/G24)</f>
        <v>0.95</v>
      </c>
    </row>
    <row r="25" spans="2:16" ht="15.75" customHeight="1" x14ac:dyDescent="0.25">
      <c r="B25" s="5" t="s">
        <v>67</v>
      </c>
      <c r="C25" s="7"/>
      <c r="D25" s="5" t="s">
        <v>68</v>
      </c>
      <c r="E25" s="6">
        <v>45434</v>
      </c>
      <c r="F25" s="5">
        <v>100</v>
      </c>
      <c r="G25" s="13">
        <v>8.5</v>
      </c>
      <c r="H25" s="8"/>
      <c r="I25" s="8"/>
      <c r="J25" s="8"/>
      <c r="K25" s="8"/>
      <c r="L25" s="5" t="s">
        <v>69</v>
      </c>
      <c r="M25" s="7">
        <v>5.4</v>
      </c>
      <c r="N25" s="7">
        <f>ABS(G25-M25)*100</f>
        <v>309.99999999999994</v>
      </c>
      <c r="O25" s="18">
        <f>1-(M25/G25)</f>
        <v>0.3647058823529411</v>
      </c>
    </row>
    <row r="26" spans="2:16" ht="15.75" customHeight="1" x14ac:dyDescent="0.25">
      <c r="B26" s="9" t="s">
        <v>15</v>
      </c>
      <c r="C26" s="11"/>
      <c r="D26" s="9" t="s">
        <v>70</v>
      </c>
      <c r="E26" s="10">
        <v>45455</v>
      </c>
      <c r="F26" s="9">
        <v>100</v>
      </c>
      <c r="G26" s="11">
        <v>66.75</v>
      </c>
      <c r="H26" s="8"/>
      <c r="I26" s="8"/>
      <c r="J26" s="8"/>
      <c r="K26" s="8"/>
      <c r="L26" s="9" t="s">
        <v>71</v>
      </c>
      <c r="M26" s="11">
        <v>66.260000000000005</v>
      </c>
      <c r="N26" s="19">
        <f>(M26-G26)*F26</f>
        <v>-48.999999999999488</v>
      </c>
      <c r="O26" s="14">
        <f>1-(G26/M26)</f>
        <v>-7.3951101720495238E-3</v>
      </c>
    </row>
    <row r="27" spans="2:16" ht="15.75" customHeight="1" x14ac:dyDescent="0.25">
      <c r="B27" s="5" t="s">
        <v>72</v>
      </c>
      <c r="C27" s="7"/>
      <c r="D27" s="5" t="s">
        <v>70</v>
      </c>
      <c r="E27" s="6">
        <v>45455</v>
      </c>
      <c r="F27" s="5">
        <v>-100</v>
      </c>
      <c r="G27" s="7">
        <v>8.4499999999999993</v>
      </c>
      <c r="H27" s="8"/>
      <c r="I27" s="8"/>
      <c r="J27" s="8"/>
      <c r="K27" s="8"/>
      <c r="L27" s="5" t="s">
        <v>73</v>
      </c>
      <c r="M27" s="7">
        <v>3.4</v>
      </c>
      <c r="N27" s="7">
        <f>ABS(G27-M27)*100</f>
        <v>504.99999999999989</v>
      </c>
      <c r="O27" s="18">
        <f>1-(M27/G27)</f>
        <v>0.5976331360946745</v>
      </c>
    </row>
    <row r="28" spans="2:16" ht="15.75" customHeight="1" x14ac:dyDescent="0.25">
      <c r="B28" s="5" t="s">
        <v>74</v>
      </c>
      <c r="C28" s="7"/>
      <c r="D28" s="5" t="s">
        <v>70</v>
      </c>
      <c r="E28" s="6">
        <v>45496</v>
      </c>
      <c r="F28" s="5">
        <v>100</v>
      </c>
      <c r="G28" s="7">
        <v>64.95</v>
      </c>
      <c r="H28" s="8"/>
      <c r="I28" s="8"/>
      <c r="J28" s="8"/>
      <c r="K28" s="8"/>
      <c r="L28" s="5" t="s">
        <v>75</v>
      </c>
      <c r="M28" s="11">
        <v>66.260000000000005</v>
      </c>
      <c r="N28" s="19">
        <f>(M28-G28)*F28</f>
        <v>131.00000000000023</v>
      </c>
      <c r="O28" s="14">
        <f>1-(G28/M28)</f>
        <v>1.9770600664050786E-2</v>
      </c>
      <c r="P28" t="s">
        <v>76</v>
      </c>
    </row>
    <row r="29" spans="2:16" ht="15.75" customHeight="1" x14ac:dyDescent="0.25">
      <c r="B29" s="5" t="s">
        <v>77</v>
      </c>
      <c r="C29" s="7"/>
      <c r="D29" s="5" t="s">
        <v>70</v>
      </c>
      <c r="E29" s="6">
        <v>45455</v>
      </c>
      <c r="F29" s="5">
        <v>-100</v>
      </c>
      <c r="G29" s="7">
        <v>6.83</v>
      </c>
      <c r="H29" s="8"/>
      <c r="I29" s="8"/>
      <c r="J29" s="8"/>
      <c r="K29" s="8"/>
      <c r="L29" s="5" t="s">
        <v>78</v>
      </c>
      <c r="M29" s="7"/>
      <c r="N29" s="7">
        <f>G29*ABS(F29)</f>
        <v>683</v>
      </c>
      <c r="O29" s="18">
        <v>1</v>
      </c>
      <c r="P29" t="s">
        <v>25</v>
      </c>
    </row>
    <row r="30" spans="2:16" ht="15.75" customHeight="1" x14ac:dyDescent="0.25">
      <c r="B30" s="5" t="s">
        <v>79</v>
      </c>
      <c r="C30" s="7"/>
      <c r="D30" s="5" t="s">
        <v>70</v>
      </c>
      <c r="E30" s="6">
        <v>45555</v>
      </c>
      <c r="F30" s="5">
        <v>-200</v>
      </c>
      <c r="G30" s="7">
        <v>2.1</v>
      </c>
      <c r="H30" s="8"/>
      <c r="I30" s="8"/>
      <c r="J30" s="8"/>
      <c r="K30" s="8"/>
      <c r="L30" s="5" t="s">
        <v>71</v>
      </c>
      <c r="M30" s="7">
        <v>1.95</v>
      </c>
      <c r="N30" s="7">
        <f>(G30-M30)*200</f>
        <v>30.000000000000028</v>
      </c>
      <c r="O30" s="18">
        <v>-0.32</v>
      </c>
      <c r="P30" s="25">
        <f>SUM(N26:N30)</f>
        <v>1300.0000000000007</v>
      </c>
    </row>
    <row r="31" spans="2:16" ht="15.75" customHeight="1" x14ac:dyDescent="0.25">
      <c r="B31" s="9" t="s">
        <v>15</v>
      </c>
      <c r="C31" s="11"/>
      <c r="D31" s="15" t="s">
        <v>80</v>
      </c>
      <c r="E31" s="16">
        <v>45463</v>
      </c>
      <c r="F31" s="15">
        <v>100</v>
      </c>
      <c r="G31" s="17">
        <v>35.64</v>
      </c>
      <c r="H31" s="8"/>
      <c r="I31" s="8"/>
      <c r="J31" s="8"/>
      <c r="K31" s="8"/>
      <c r="L31" s="9" t="s">
        <v>81</v>
      </c>
      <c r="M31" s="17">
        <v>45.07</v>
      </c>
      <c r="N31" s="19">
        <f>(M31-G31)*F31</f>
        <v>943</v>
      </c>
      <c r="O31" s="14">
        <f>1-(G31/M31)</f>
        <v>0.20923008653206121</v>
      </c>
    </row>
    <row r="32" spans="2:16" ht="15.75" customHeight="1" x14ac:dyDescent="0.25">
      <c r="B32" s="5" t="s">
        <v>82</v>
      </c>
      <c r="C32" s="7"/>
      <c r="D32" s="5" t="s">
        <v>80</v>
      </c>
      <c r="E32" s="6">
        <v>45463</v>
      </c>
      <c r="F32" s="5">
        <v>-100</v>
      </c>
      <c r="G32" s="7">
        <v>4.5</v>
      </c>
      <c r="H32" s="8"/>
      <c r="I32" s="8"/>
      <c r="J32" s="8"/>
      <c r="K32" s="8"/>
      <c r="L32" s="5" t="s">
        <v>83</v>
      </c>
      <c r="M32" s="7">
        <v>0.28999999999999998</v>
      </c>
      <c r="N32" s="7">
        <f>ABS(G32-M32)*100</f>
        <v>421</v>
      </c>
      <c r="O32" s="18">
        <f>1-(M32/G32)</f>
        <v>0.93555555555555558</v>
      </c>
    </row>
    <row r="33" spans="2:16" ht="15.75" customHeight="1" x14ac:dyDescent="0.25">
      <c r="B33" s="5" t="s">
        <v>82</v>
      </c>
      <c r="C33" s="7"/>
      <c r="D33" s="5" t="s">
        <v>80</v>
      </c>
      <c r="E33" s="6">
        <v>45463</v>
      </c>
      <c r="F33" s="5">
        <v>-100</v>
      </c>
      <c r="G33" s="7">
        <v>5.25</v>
      </c>
      <c r="H33" s="8"/>
      <c r="I33" s="8"/>
      <c r="J33" s="8"/>
      <c r="K33" s="8"/>
      <c r="L33" s="5" t="s">
        <v>83</v>
      </c>
      <c r="M33" s="7">
        <v>0.28999999999999998</v>
      </c>
      <c r="N33" s="7">
        <f>ABS(G33-M33)*100</f>
        <v>496</v>
      </c>
      <c r="O33" s="18">
        <f>1-(M33/G33)</f>
        <v>0.9447619047619048</v>
      </c>
    </row>
    <row r="34" spans="2:16" ht="15.75" customHeight="1" x14ac:dyDescent="0.25">
      <c r="B34" s="5" t="s">
        <v>84</v>
      </c>
      <c r="C34" s="7"/>
      <c r="D34" s="5" t="s">
        <v>80</v>
      </c>
      <c r="E34" s="6">
        <v>45485</v>
      </c>
      <c r="F34" s="5">
        <v>-100</v>
      </c>
      <c r="G34" s="7">
        <v>5</v>
      </c>
      <c r="H34" s="8"/>
      <c r="I34" s="8"/>
      <c r="J34" s="8"/>
      <c r="K34" s="8"/>
      <c r="L34" s="5" t="s">
        <v>85</v>
      </c>
      <c r="M34" s="7">
        <v>8</v>
      </c>
      <c r="N34" s="7">
        <f>(G34-M34)*100</f>
        <v>-300</v>
      </c>
      <c r="O34" s="18">
        <v>-0.32</v>
      </c>
      <c r="P34" t="s">
        <v>86</v>
      </c>
    </row>
    <row r="35" spans="2:16" ht="15.75" customHeight="1" x14ac:dyDescent="0.25">
      <c r="B35" s="5" t="s">
        <v>87</v>
      </c>
      <c r="C35" s="7"/>
      <c r="D35" s="5" t="s">
        <v>80</v>
      </c>
      <c r="E35" s="6">
        <v>45504</v>
      </c>
      <c r="F35" s="5">
        <v>-100</v>
      </c>
      <c r="G35" s="7">
        <v>3</v>
      </c>
      <c r="H35" s="8"/>
      <c r="I35" s="8"/>
      <c r="J35" s="8"/>
      <c r="K35" s="8"/>
      <c r="L35" s="5" t="s">
        <v>81</v>
      </c>
      <c r="M35" s="7">
        <v>0.6</v>
      </c>
      <c r="N35" s="7">
        <f>ABS(G35-M35)*100</f>
        <v>240</v>
      </c>
      <c r="O35" s="18">
        <f>1-(M35/G35)</f>
        <v>0.8</v>
      </c>
      <c r="P35" t="s">
        <v>88</v>
      </c>
    </row>
    <row r="36" spans="2:16" ht="15.75" customHeight="1" x14ac:dyDescent="0.25">
      <c r="B36" s="5" t="s">
        <v>89</v>
      </c>
      <c r="C36" s="7"/>
      <c r="D36" s="5" t="s">
        <v>80</v>
      </c>
      <c r="E36" s="6">
        <v>45505</v>
      </c>
      <c r="F36" s="5">
        <v>100</v>
      </c>
      <c r="G36" s="7">
        <v>44.8</v>
      </c>
      <c r="H36" s="8"/>
      <c r="I36" s="8"/>
      <c r="J36" s="8"/>
      <c r="K36" s="8"/>
      <c r="L36" s="9" t="s">
        <v>90</v>
      </c>
      <c r="M36" s="11">
        <v>52.86</v>
      </c>
      <c r="N36" s="19">
        <f>(M36-G36)*F36</f>
        <v>806.00000000000023</v>
      </c>
      <c r="O36" s="14">
        <f>1-(G36/M36)</f>
        <v>0.15247824441922064</v>
      </c>
      <c r="P36" t="s">
        <v>91</v>
      </c>
    </row>
    <row r="37" spans="2:16" ht="15.75" customHeight="1" x14ac:dyDescent="0.25">
      <c r="B37" s="5" t="s">
        <v>92</v>
      </c>
      <c r="C37" s="7"/>
      <c r="D37" s="5" t="s">
        <v>80</v>
      </c>
      <c r="E37" s="6">
        <v>45552</v>
      </c>
      <c r="F37" s="5">
        <v>-100</v>
      </c>
      <c r="G37" s="7">
        <v>3</v>
      </c>
      <c r="H37" s="8"/>
      <c r="I37" s="8"/>
      <c r="J37" s="8"/>
      <c r="K37" s="8"/>
      <c r="L37" s="5" t="s">
        <v>93</v>
      </c>
      <c r="M37" s="7">
        <v>1.99</v>
      </c>
      <c r="N37" s="7">
        <f>ABS(M37)*100</f>
        <v>199</v>
      </c>
      <c r="O37" s="18">
        <f>(M37/G37)</f>
        <v>0.66333333333333333</v>
      </c>
      <c r="P37" t="s">
        <v>94</v>
      </c>
    </row>
    <row r="38" spans="2:16" ht="15.75" customHeight="1" x14ac:dyDescent="0.25">
      <c r="B38" s="5" t="s">
        <v>95</v>
      </c>
      <c r="C38" s="7"/>
      <c r="D38" s="5" t="s">
        <v>80</v>
      </c>
      <c r="E38" s="6">
        <v>45580</v>
      </c>
      <c r="F38" s="5">
        <v>-100</v>
      </c>
      <c r="G38" s="7">
        <v>3.01</v>
      </c>
      <c r="H38" s="8"/>
      <c r="I38" s="8"/>
      <c r="J38" s="8"/>
      <c r="K38" s="8"/>
      <c r="L38" s="9" t="s">
        <v>90</v>
      </c>
      <c r="M38" s="7">
        <v>6.45</v>
      </c>
      <c r="N38" s="7">
        <f>(G38-M38)*100</f>
        <v>-344.00000000000006</v>
      </c>
      <c r="O38" s="18">
        <f>1-(M38/G38)</f>
        <v>-1.1428571428571432</v>
      </c>
      <c r="P38" t="s">
        <v>94</v>
      </c>
    </row>
    <row r="39" spans="2:16" ht="15.75" customHeight="1" x14ac:dyDescent="0.25">
      <c r="B39" s="5" t="s">
        <v>95</v>
      </c>
      <c r="C39" s="7"/>
      <c r="D39" s="5" t="s">
        <v>80</v>
      </c>
      <c r="E39" s="6">
        <v>45602</v>
      </c>
      <c r="F39" s="5">
        <v>-200</v>
      </c>
      <c r="G39" s="7">
        <v>7.07</v>
      </c>
      <c r="H39" s="8"/>
      <c r="I39" s="8"/>
      <c r="J39" s="8"/>
      <c r="K39" s="8"/>
      <c r="L39" s="9" t="s">
        <v>90</v>
      </c>
      <c r="M39" s="7">
        <v>6.45</v>
      </c>
      <c r="N39" s="7">
        <f>(G39-M39)*100</f>
        <v>62.000000000000014</v>
      </c>
      <c r="O39" s="18">
        <f>1-(M39/G39)</f>
        <v>8.7694483734087725E-2</v>
      </c>
      <c r="P39" t="s">
        <v>96</v>
      </c>
    </row>
    <row r="40" spans="2:16" ht="15.75" customHeight="1" x14ac:dyDescent="0.25">
      <c r="B40" s="9" t="s">
        <v>15</v>
      </c>
      <c r="C40" s="11"/>
      <c r="D40" s="9" t="s">
        <v>80</v>
      </c>
      <c r="E40" s="10">
        <v>45602</v>
      </c>
      <c r="F40" s="9">
        <v>200</v>
      </c>
      <c r="G40" s="11">
        <v>53.5</v>
      </c>
      <c r="H40" s="8"/>
      <c r="I40" s="8"/>
      <c r="J40" s="8"/>
      <c r="K40" s="8"/>
      <c r="L40" s="9" t="s">
        <v>90</v>
      </c>
      <c r="M40" s="11">
        <v>52.86</v>
      </c>
      <c r="N40" s="27">
        <f>(M40-G40)*F40</f>
        <v>-128.00000000000011</v>
      </c>
      <c r="O40" s="14">
        <f>1-(G40/M40)</f>
        <v>-1.2107453651154065E-2</v>
      </c>
      <c r="P40" t="s">
        <v>97</v>
      </c>
    </row>
    <row r="41" spans="2:16" ht="15.75" customHeight="1" x14ac:dyDescent="0.25">
      <c r="B41" s="9" t="s">
        <v>15</v>
      </c>
      <c r="C41" s="11"/>
      <c r="D41" s="9" t="s">
        <v>98</v>
      </c>
      <c r="E41" s="10">
        <v>45469</v>
      </c>
      <c r="F41" s="9">
        <v>100</v>
      </c>
      <c r="G41" s="11">
        <v>53.15</v>
      </c>
      <c r="H41" s="11">
        <f>F41*G41</f>
        <v>5315</v>
      </c>
      <c r="I41" s="11"/>
      <c r="J41" s="11"/>
      <c r="K41" s="11"/>
      <c r="L41" s="9"/>
      <c r="M41" s="11"/>
      <c r="N41" s="9"/>
      <c r="O41" s="9"/>
      <c r="P41" t="s">
        <v>97</v>
      </c>
    </row>
    <row r="42" spans="2:16" ht="15.75" customHeight="1" x14ac:dyDescent="0.25">
      <c r="B42" s="9" t="s">
        <v>99</v>
      </c>
      <c r="C42" s="11"/>
      <c r="D42" s="9" t="s">
        <v>98</v>
      </c>
      <c r="E42" s="10">
        <v>45483</v>
      </c>
      <c r="F42" s="9">
        <v>10</v>
      </c>
      <c r="G42" s="11">
        <v>67.14</v>
      </c>
      <c r="H42" s="11">
        <f>F42*G42</f>
        <v>671.4</v>
      </c>
      <c r="I42" s="11"/>
      <c r="J42" s="11"/>
      <c r="K42" s="11"/>
      <c r="L42" s="9"/>
      <c r="M42" s="11"/>
      <c r="N42" s="9"/>
      <c r="O42" s="9"/>
    </row>
    <row r="43" spans="2:16" ht="15.75" customHeight="1" x14ac:dyDescent="0.25">
      <c r="B43" s="5" t="s">
        <v>100</v>
      </c>
      <c r="C43" s="7"/>
      <c r="D43" s="5" t="s">
        <v>98</v>
      </c>
      <c r="E43" s="6">
        <v>45469</v>
      </c>
      <c r="F43" s="5">
        <v>-100</v>
      </c>
      <c r="G43" s="7">
        <v>10.65</v>
      </c>
      <c r="H43" s="8"/>
      <c r="I43" s="8"/>
      <c r="J43" s="8"/>
      <c r="K43" s="8"/>
      <c r="L43" s="5" t="s">
        <v>101</v>
      </c>
      <c r="M43" s="7">
        <v>3.3</v>
      </c>
      <c r="N43" s="7">
        <f>M43*ABS(F43)</f>
        <v>330</v>
      </c>
      <c r="O43" s="18">
        <f>1-(M43/G43)</f>
        <v>0.6901408450704225</v>
      </c>
      <c r="P43" t="s">
        <v>102</v>
      </c>
    </row>
    <row r="44" spans="2:16" ht="15.75" customHeight="1" x14ac:dyDescent="0.25">
      <c r="B44" s="5" t="s">
        <v>103</v>
      </c>
      <c r="C44" s="7"/>
      <c r="D44" s="5" t="s">
        <v>98</v>
      </c>
      <c r="E44" s="6">
        <v>45472</v>
      </c>
      <c r="F44" s="5">
        <v>-100</v>
      </c>
      <c r="G44" s="7">
        <v>5.8</v>
      </c>
      <c r="H44" s="8"/>
      <c r="I44" s="8"/>
      <c r="J44" s="8"/>
      <c r="K44" s="8"/>
      <c r="L44" s="5" t="s">
        <v>104</v>
      </c>
      <c r="M44" s="7">
        <v>0.2</v>
      </c>
      <c r="N44" s="7">
        <f>(G44-M44)*200</f>
        <v>1120</v>
      </c>
      <c r="O44" s="18">
        <f>1-(M44/G44)</f>
        <v>0.96551724137931039</v>
      </c>
      <c r="P44" s="20"/>
    </row>
    <row r="45" spans="2:16" ht="15.75" customHeight="1" x14ac:dyDescent="0.25">
      <c r="B45" s="9" t="s">
        <v>105</v>
      </c>
      <c r="C45" s="11"/>
      <c r="D45" s="9" t="s">
        <v>16</v>
      </c>
      <c r="E45" s="10">
        <v>45469</v>
      </c>
      <c r="F45" s="9">
        <v>-100</v>
      </c>
      <c r="G45" s="11">
        <v>7.1</v>
      </c>
      <c r="H45" s="8"/>
      <c r="I45" s="8"/>
      <c r="J45" s="8"/>
      <c r="K45" s="8"/>
      <c r="L45" s="5" t="s">
        <v>101</v>
      </c>
      <c r="M45" s="11">
        <v>2.7</v>
      </c>
      <c r="N45" s="11">
        <f>ABS(G45-M45)*100</f>
        <v>439.99999999999994</v>
      </c>
      <c r="O45" s="12">
        <f>1-(M45/G45)</f>
        <v>0.61971830985915488</v>
      </c>
    </row>
    <row r="46" spans="2:16" ht="15.75" customHeight="1" x14ac:dyDescent="0.25">
      <c r="B46" s="9" t="s">
        <v>99</v>
      </c>
      <c r="C46" s="11"/>
      <c r="D46" s="9" t="s">
        <v>106</v>
      </c>
      <c r="E46" s="10">
        <v>45476</v>
      </c>
      <c r="F46" s="9">
        <v>100</v>
      </c>
      <c r="G46" s="11">
        <v>67.8</v>
      </c>
      <c r="H46" s="8"/>
      <c r="I46" s="8"/>
      <c r="J46" s="8"/>
      <c r="K46" s="8"/>
      <c r="L46" s="5" t="s">
        <v>107</v>
      </c>
      <c r="M46" s="11">
        <v>68.55</v>
      </c>
      <c r="N46" s="11">
        <f>ABS(M46-G46)*100</f>
        <v>75</v>
      </c>
      <c r="O46" s="12">
        <f>1-(G46/M46)</f>
        <v>1.0940919037199071E-2</v>
      </c>
      <c r="P46" t="s">
        <v>108</v>
      </c>
    </row>
    <row r="47" spans="2:16" ht="15.75" customHeight="1" x14ac:dyDescent="0.25">
      <c r="B47" s="5" t="s">
        <v>109</v>
      </c>
      <c r="C47" s="7"/>
      <c r="D47" s="5" t="s">
        <v>106</v>
      </c>
      <c r="E47" s="6">
        <v>45476</v>
      </c>
      <c r="F47" s="5">
        <v>100</v>
      </c>
      <c r="G47" s="7">
        <v>62</v>
      </c>
      <c r="H47" s="8"/>
      <c r="I47" s="8"/>
      <c r="J47" s="8"/>
      <c r="K47" s="8"/>
      <c r="L47" s="5" t="s">
        <v>107</v>
      </c>
      <c r="M47" s="11">
        <v>68.55</v>
      </c>
      <c r="N47" s="11">
        <f>ABS(M47-G47)*100</f>
        <v>654.99999999999977</v>
      </c>
      <c r="O47" s="12">
        <f>1-(G47/M47)</f>
        <v>9.5550692924872282E-2</v>
      </c>
      <c r="P47" t="s">
        <v>25</v>
      </c>
    </row>
    <row r="48" spans="2:16" ht="15.75" customHeight="1" x14ac:dyDescent="0.25">
      <c r="B48" s="5" t="s">
        <v>110</v>
      </c>
      <c r="C48" s="7"/>
      <c r="D48" s="5" t="s">
        <v>106</v>
      </c>
      <c r="E48" s="6">
        <v>45476</v>
      </c>
      <c r="F48" s="5">
        <v>-100</v>
      </c>
      <c r="G48" s="7">
        <v>5</v>
      </c>
      <c r="H48" s="8"/>
      <c r="I48" s="8"/>
      <c r="J48" s="8"/>
      <c r="K48" s="8"/>
      <c r="L48" s="5" t="s">
        <v>61</v>
      </c>
      <c r="M48" s="7"/>
      <c r="N48" s="7">
        <f>G48*ABS(F48)</f>
        <v>500</v>
      </c>
      <c r="O48" s="18">
        <v>1</v>
      </c>
      <c r="P48" t="s">
        <v>25</v>
      </c>
    </row>
    <row r="49" spans="2:17" ht="15.75" customHeight="1" x14ac:dyDescent="0.25">
      <c r="B49" s="5" t="s">
        <v>111</v>
      </c>
      <c r="C49" s="7"/>
      <c r="D49" s="5" t="s">
        <v>106</v>
      </c>
      <c r="E49" s="6">
        <v>45496</v>
      </c>
      <c r="F49" s="5">
        <v>-100</v>
      </c>
      <c r="G49" s="7">
        <v>4</v>
      </c>
      <c r="H49" s="8"/>
      <c r="I49" s="8"/>
      <c r="J49" s="8"/>
      <c r="K49" s="8"/>
      <c r="L49" s="5" t="s">
        <v>78</v>
      </c>
      <c r="M49" s="7"/>
      <c r="N49" s="7">
        <f>G49*ABS(F49)</f>
        <v>400</v>
      </c>
      <c r="O49" s="18">
        <v>1</v>
      </c>
      <c r="P49" t="s">
        <v>25</v>
      </c>
    </row>
    <row r="50" spans="2:17" ht="15.75" customHeight="1" x14ac:dyDescent="0.25">
      <c r="B50" s="5" t="s">
        <v>112</v>
      </c>
      <c r="C50" s="7"/>
      <c r="D50" s="5" t="s">
        <v>106</v>
      </c>
      <c r="E50" s="6">
        <v>45523</v>
      </c>
      <c r="F50" s="5">
        <v>-200</v>
      </c>
      <c r="G50" s="7">
        <v>6.4</v>
      </c>
      <c r="H50" s="8"/>
      <c r="I50" s="8"/>
      <c r="J50" s="8"/>
      <c r="K50" s="8"/>
      <c r="L50" s="5" t="s">
        <v>113</v>
      </c>
      <c r="M50" s="7"/>
      <c r="N50" s="7">
        <f>G50*ABS(F50)</f>
        <v>1280</v>
      </c>
      <c r="O50" s="18">
        <v>1</v>
      </c>
      <c r="P50" t="s">
        <v>114</v>
      </c>
    </row>
    <row r="51" spans="2:17" ht="15.75" customHeight="1" x14ac:dyDescent="0.25">
      <c r="B51" s="5" t="s">
        <v>115</v>
      </c>
      <c r="C51" s="7"/>
      <c r="D51" s="5" t="s">
        <v>106</v>
      </c>
      <c r="E51" s="6">
        <v>45561</v>
      </c>
      <c r="F51" s="5">
        <v>-200</v>
      </c>
      <c r="G51" s="7">
        <v>4.8</v>
      </c>
      <c r="H51" s="8"/>
      <c r="I51" s="8"/>
      <c r="J51" s="8"/>
      <c r="K51" s="8"/>
      <c r="L51" s="5" t="s">
        <v>107</v>
      </c>
      <c r="M51" s="7">
        <v>5.7</v>
      </c>
      <c r="N51" s="7">
        <f>(M51-G51)*-200</f>
        <v>-180.00000000000006</v>
      </c>
      <c r="O51" s="18">
        <f>1-(M51/G51)</f>
        <v>-0.1875</v>
      </c>
      <c r="P51" t="s">
        <v>116</v>
      </c>
    </row>
    <row r="52" spans="2:17" ht="15.75" customHeight="1" x14ac:dyDescent="0.25">
      <c r="B52" s="9" t="s">
        <v>56</v>
      </c>
      <c r="C52" s="11"/>
      <c r="D52" s="9" t="s">
        <v>117</v>
      </c>
      <c r="E52" s="10">
        <v>45483</v>
      </c>
      <c r="F52" s="9">
        <v>100</v>
      </c>
      <c r="G52" s="11">
        <v>36.672899999999998</v>
      </c>
      <c r="H52" s="8"/>
      <c r="I52" s="8"/>
      <c r="J52" s="8"/>
      <c r="K52" s="8"/>
      <c r="L52" s="9" t="s">
        <v>118</v>
      </c>
      <c r="M52" s="11">
        <v>39.200000000000003</v>
      </c>
      <c r="N52" s="11">
        <f t="shared" ref="N52:N57" si="0">ABS(G52-M52)*100</f>
        <v>252.71000000000043</v>
      </c>
      <c r="O52" s="12">
        <f>1-(G52/M52)</f>
        <v>6.4466836734694E-2</v>
      </c>
      <c r="P52" t="s">
        <v>116</v>
      </c>
      <c r="Q52" s="20"/>
    </row>
    <row r="53" spans="2:17" ht="15.75" customHeight="1" x14ac:dyDescent="0.25">
      <c r="B53" s="5" t="s">
        <v>119</v>
      </c>
      <c r="C53" s="7"/>
      <c r="D53" s="5" t="s">
        <v>117</v>
      </c>
      <c r="E53" s="6">
        <v>45483</v>
      </c>
      <c r="F53" s="5">
        <v>-100</v>
      </c>
      <c r="G53" s="7">
        <v>8.6999999999999993</v>
      </c>
      <c r="H53" s="8"/>
      <c r="I53" s="8"/>
      <c r="J53" s="8"/>
      <c r="K53" s="8"/>
      <c r="L53" s="5" t="s">
        <v>118</v>
      </c>
      <c r="M53" s="7">
        <v>6.5</v>
      </c>
      <c r="N53" s="7">
        <f t="shared" si="0"/>
        <v>219.99999999999994</v>
      </c>
      <c r="O53" s="18">
        <f>1-(M53/G53)</f>
        <v>0.25287356321839072</v>
      </c>
    </row>
    <row r="54" spans="2:17" ht="15.75" customHeight="1" x14ac:dyDescent="0.25">
      <c r="B54" s="9" t="s">
        <v>56</v>
      </c>
      <c r="C54" s="11"/>
      <c r="D54" s="9" t="s">
        <v>120</v>
      </c>
      <c r="E54" s="10">
        <v>45490</v>
      </c>
      <c r="F54" s="9">
        <v>100</v>
      </c>
      <c r="G54" s="11">
        <v>24.25</v>
      </c>
      <c r="H54" s="8"/>
      <c r="I54" s="8"/>
      <c r="J54" s="8"/>
      <c r="K54" s="8"/>
      <c r="L54" s="5" t="s">
        <v>121</v>
      </c>
      <c r="M54" s="11">
        <v>27.85</v>
      </c>
      <c r="N54" s="11">
        <f t="shared" si="0"/>
        <v>360.00000000000011</v>
      </c>
      <c r="O54" s="12">
        <f>1-(G54/M54)</f>
        <v>0.12926391382405744</v>
      </c>
    </row>
    <row r="55" spans="2:17" ht="15.75" customHeight="1" x14ac:dyDescent="0.25">
      <c r="B55" s="9" t="s">
        <v>56</v>
      </c>
      <c r="C55" s="11"/>
      <c r="D55" s="9" t="s">
        <v>120</v>
      </c>
      <c r="E55" s="10">
        <v>45497</v>
      </c>
      <c r="F55" s="9">
        <v>100</v>
      </c>
      <c r="G55" s="11">
        <v>22.4</v>
      </c>
      <c r="H55" s="8"/>
      <c r="I55" s="8"/>
      <c r="J55" s="8"/>
      <c r="K55" s="8"/>
      <c r="L55" s="5" t="s">
        <v>121</v>
      </c>
      <c r="M55" s="11">
        <v>27.85</v>
      </c>
      <c r="N55" s="11">
        <f t="shared" si="0"/>
        <v>545.00000000000023</v>
      </c>
      <c r="O55" s="12">
        <f>1-(G55/M55)</f>
        <v>0.1956912028725315</v>
      </c>
    </row>
    <row r="56" spans="2:17" ht="15.75" customHeight="1" x14ac:dyDescent="0.25">
      <c r="B56" s="5" t="s">
        <v>122</v>
      </c>
      <c r="C56" s="7"/>
      <c r="D56" s="5" t="s">
        <v>120</v>
      </c>
      <c r="E56" s="6">
        <v>45575</v>
      </c>
      <c r="F56" s="5">
        <v>-100</v>
      </c>
      <c r="G56" s="7">
        <v>5.5</v>
      </c>
      <c r="H56" s="8"/>
      <c r="I56" s="8"/>
      <c r="J56" s="8"/>
      <c r="K56" s="8"/>
      <c r="L56" s="5" t="s">
        <v>123</v>
      </c>
      <c r="M56" s="7">
        <v>4.3</v>
      </c>
      <c r="N56" s="7">
        <f t="shared" si="0"/>
        <v>120.00000000000001</v>
      </c>
      <c r="O56" s="18">
        <f>1-(M56/G56)</f>
        <v>0.21818181818181825</v>
      </c>
      <c r="P56" t="s">
        <v>124</v>
      </c>
    </row>
    <row r="57" spans="2:17" ht="15.75" customHeight="1" x14ac:dyDescent="0.25">
      <c r="B57" s="5" t="s">
        <v>125</v>
      </c>
      <c r="C57" s="7"/>
      <c r="D57" s="5" t="s">
        <v>120</v>
      </c>
      <c r="E57" s="6">
        <v>45490</v>
      </c>
      <c r="F57" s="5">
        <v>100</v>
      </c>
      <c r="G57" s="7">
        <v>23.6</v>
      </c>
      <c r="H57" s="8"/>
      <c r="I57" s="8"/>
      <c r="J57" s="8"/>
      <c r="K57" s="8"/>
      <c r="L57" s="5" t="s">
        <v>121</v>
      </c>
      <c r="M57" s="11">
        <v>27.85</v>
      </c>
      <c r="N57" s="11">
        <f t="shared" si="0"/>
        <v>425</v>
      </c>
      <c r="O57" s="12">
        <f>1-(G57/M57)</f>
        <v>0.15260323159784561</v>
      </c>
      <c r="P57" t="s">
        <v>126</v>
      </c>
    </row>
    <row r="58" spans="2:17" ht="15.75" customHeight="1" x14ac:dyDescent="0.25">
      <c r="B58" s="5" t="s">
        <v>127</v>
      </c>
      <c r="C58" s="7"/>
      <c r="D58" s="5" t="s">
        <v>120</v>
      </c>
      <c r="E58" s="6">
        <v>45576</v>
      </c>
      <c r="F58" s="5">
        <v>-300</v>
      </c>
      <c r="G58" s="7">
        <v>2</v>
      </c>
      <c r="H58" s="8"/>
      <c r="I58" s="8"/>
      <c r="J58" s="8"/>
      <c r="K58" s="8"/>
      <c r="L58" s="5" t="s">
        <v>121</v>
      </c>
      <c r="M58" s="7">
        <v>2.5</v>
      </c>
      <c r="N58" s="7">
        <f>(G58-M58)*300</f>
        <v>-150</v>
      </c>
      <c r="O58" s="18">
        <f>1-(M58/G58)</f>
        <v>-0.25</v>
      </c>
      <c r="P58" t="s">
        <v>128</v>
      </c>
    </row>
    <row r="59" spans="2:17" ht="15.75" customHeight="1" x14ac:dyDescent="0.25">
      <c r="B59" s="5" t="s">
        <v>129</v>
      </c>
      <c r="C59" s="7"/>
      <c r="D59" s="5" t="s">
        <v>16</v>
      </c>
      <c r="E59" s="6">
        <v>45496</v>
      </c>
      <c r="F59" s="5">
        <v>100</v>
      </c>
      <c r="G59" s="7">
        <v>73</v>
      </c>
      <c r="H59" s="8"/>
      <c r="I59" s="8"/>
      <c r="J59" s="8"/>
      <c r="K59" s="8"/>
      <c r="L59" s="5" t="s">
        <v>130</v>
      </c>
      <c r="M59" s="7">
        <v>76.7</v>
      </c>
      <c r="N59" s="7">
        <f>(M59-G59)*100</f>
        <v>370.00000000000028</v>
      </c>
      <c r="O59" s="5"/>
      <c r="P59" t="s">
        <v>131</v>
      </c>
    </row>
    <row r="60" spans="2:17" ht="15.75" customHeight="1" x14ac:dyDescent="0.25">
      <c r="B60" s="5" t="s">
        <v>112</v>
      </c>
      <c r="C60" s="7"/>
      <c r="D60" s="5" t="s">
        <v>16</v>
      </c>
      <c r="E60" s="6">
        <v>45523</v>
      </c>
      <c r="F60" s="5">
        <v>-100</v>
      </c>
      <c r="G60" s="7">
        <v>3</v>
      </c>
      <c r="H60" s="8"/>
      <c r="I60" s="8"/>
      <c r="J60" s="8"/>
      <c r="K60" s="8"/>
      <c r="L60" s="5" t="s">
        <v>113</v>
      </c>
      <c r="M60" s="7"/>
      <c r="N60" s="7">
        <f>G60*ABS(F60)</f>
        <v>300</v>
      </c>
      <c r="O60" s="18">
        <v>1</v>
      </c>
      <c r="P60" t="s">
        <v>25</v>
      </c>
    </row>
    <row r="61" spans="2:17" ht="15.75" customHeight="1" x14ac:dyDescent="0.25">
      <c r="B61" s="5" t="s">
        <v>132</v>
      </c>
      <c r="C61" s="7"/>
      <c r="D61" s="5" t="s">
        <v>16</v>
      </c>
      <c r="E61" s="6">
        <v>45561</v>
      </c>
      <c r="F61" s="5">
        <v>-100</v>
      </c>
      <c r="G61" s="7">
        <v>4.3</v>
      </c>
      <c r="H61" s="8"/>
      <c r="I61" s="8"/>
      <c r="J61" s="8"/>
      <c r="K61" s="8"/>
      <c r="L61" s="5" t="s">
        <v>133</v>
      </c>
      <c r="M61" s="7">
        <v>2.29</v>
      </c>
      <c r="N61" s="7">
        <f>(G61-M61)*100</f>
        <v>200.99999999999997</v>
      </c>
      <c r="O61" s="18">
        <f>1-(M61/G61)</f>
        <v>0.46744186046511627</v>
      </c>
      <c r="P61" t="s">
        <v>134</v>
      </c>
    </row>
    <row r="62" spans="2:17" ht="15.75" customHeight="1" x14ac:dyDescent="0.25">
      <c r="B62" s="5" t="s">
        <v>135</v>
      </c>
      <c r="C62" s="7"/>
      <c r="D62" s="5" t="s">
        <v>16</v>
      </c>
      <c r="E62" s="6">
        <v>45575</v>
      </c>
      <c r="F62" s="5">
        <v>-100</v>
      </c>
      <c r="G62" s="7">
        <v>4.0999999999999996</v>
      </c>
      <c r="H62" s="8"/>
      <c r="I62" s="8"/>
      <c r="J62" s="8"/>
      <c r="K62" s="8"/>
      <c r="L62" s="5" t="s">
        <v>130</v>
      </c>
      <c r="M62" s="7">
        <v>4.0999999999999996</v>
      </c>
      <c r="N62" s="7">
        <f>(M62)*100</f>
        <v>409.99999999999994</v>
      </c>
      <c r="O62" s="18">
        <f>1-(M62/G62)</f>
        <v>0</v>
      </c>
      <c r="P62" t="s">
        <v>136</v>
      </c>
    </row>
    <row r="63" spans="2:17" ht="15.75" customHeight="1" x14ac:dyDescent="0.25">
      <c r="B63" s="9" t="s">
        <v>56</v>
      </c>
      <c r="C63" s="11"/>
      <c r="D63" s="9" t="s">
        <v>137</v>
      </c>
      <c r="E63" s="10">
        <v>45519</v>
      </c>
      <c r="F63" s="9">
        <v>100</v>
      </c>
      <c r="G63" s="11">
        <v>55</v>
      </c>
      <c r="H63" s="8"/>
      <c r="I63" s="8"/>
      <c r="J63" s="8"/>
      <c r="K63" s="8"/>
      <c r="L63" s="9" t="s">
        <v>138</v>
      </c>
      <c r="M63" s="11">
        <v>57.9</v>
      </c>
      <c r="N63" s="11">
        <f>ABS(G63-M63)*100</f>
        <v>289.99999999999989</v>
      </c>
      <c r="O63" s="12">
        <f>1-(G63/M63)</f>
        <v>5.0086355785837644E-2</v>
      </c>
      <c r="P63" t="s">
        <v>139</v>
      </c>
    </row>
    <row r="64" spans="2:17" ht="15.75" customHeight="1" x14ac:dyDescent="0.25">
      <c r="B64" s="9" t="s">
        <v>99</v>
      </c>
      <c r="C64" s="11"/>
      <c r="D64" s="9" t="s">
        <v>140</v>
      </c>
      <c r="E64" s="10">
        <v>45526</v>
      </c>
      <c r="F64" s="9">
        <v>100</v>
      </c>
      <c r="G64" s="11">
        <v>56.25</v>
      </c>
      <c r="H64" s="8"/>
      <c r="I64" s="8"/>
      <c r="J64" s="8"/>
      <c r="K64" s="8"/>
      <c r="L64" s="9" t="s">
        <v>141</v>
      </c>
      <c r="M64" s="11">
        <v>52.75</v>
      </c>
      <c r="N64" s="11">
        <f>(G64-M64)*-100</f>
        <v>-350</v>
      </c>
      <c r="O64" s="12">
        <f>1-(G64/M64)</f>
        <v>-6.6350710900473953E-2</v>
      </c>
    </row>
    <row r="65" spans="2:16" ht="15.75" customHeight="1" x14ac:dyDescent="0.25">
      <c r="B65" s="9" t="s">
        <v>56</v>
      </c>
      <c r="C65" s="11"/>
      <c r="D65" s="9" t="s">
        <v>142</v>
      </c>
      <c r="E65" s="10">
        <v>45539</v>
      </c>
      <c r="F65" s="9">
        <v>100</v>
      </c>
      <c r="G65" s="11">
        <v>30</v>
      </c>
      <c r="H65" s="8"/>
      <c r="I65" s="8"/>
      <c r="J65" s="8"/>
      <c r="K65" s="8"/>
      <c r="L65" s="9" t="s">
        <v>143</v>
      </c>
      <c r="M65" s="11">
        <v>34.6</v>
      </c>
      <c r="N65" s="11">
        <f>ABS(G65-M65)*100</f>
        <v>460.00000000000011</v>
      </c>
      <c r="O65" s="12">
        <f>1-(G65/M65)</f>
        <v>0.13294797687861271</v>
      </c>
    </row>
    <row r="66" spans="2:16" ht="15.75" customHeight="1" x14ac:dyDescent="0.25">
      <c r="B66" s="5" t="s">
        <v>144</v>
      </c>
      <c r="C66" s="7"/>
      <c r="D66" s="5" t="s">
        <v>142</v>
      </c>
      <c r="E66" s="6">
        <v>45544</v>
      </c>
      <c r="F66" s="5">
        <v>-100</v>
      </c>
      <c r="G66" s="7">
        <v>1.1200000000000001</v>
      </c>
      <c r="H66" s="8"/>
      <c r="I66" s="8"/>
      <c r="J66" s="8"/>
      <c r="K66" s="8"/>
      <c r="L66" s="5" t="s">
        <v>143</v>
      </c>
      <c r="M66" s="7">
        <v>1.85</v>
      </c>
      <c r="N66" s="7">
        <f>(G66-M66)*100</f>
        <v>-73</v>
      </c>
      <c r="O66" s="18">
        <v>-0.32</v>
      </c>
      <c r="P66" t="s">
        <v>145</v>
      </c>
    </row>
    <row r="67" spans="2:16" ht="15.75" customHeight="1" x14ac:dyDescent="0.25">
      <c r="B67" s="9" t="s">
        <v>56</v>
      </c>
      <c r="C67" s="11"/>
      <c r="D67" s="9" t="s">
        <v>146</v>
      </c>
      <c r="E67" s="10">
        <v>45541</v>
      </c>
      <c r="F67" s="9">
        <v>100</v>
      </c>
      <c r="G67" s="11">
        <v>37</v>
      </c>
      <c r="H67" s="8"/>
      <c r="I67" s="8"/>
      <c r="J67" s="8"/>
      <c r="K67" s="8"/>
      <c r="L67" s="9" t="s">
        <v>147</v>
      </c>
      <c r="M67" s="11">
        <v>42</v>
      </c>
      <c r="N67" s="11">
        <f>ABS(G67-M67)*100</f>
        <v>500</v>
      </c>
      <c r="O67" s="12">
        <f>1-(G67/M67)</f>
        <v>0.11904761904761907</v>
      </c>
      <c r="P67" t="s">
        <v>148</v>
      </c>
    </row>
    <row r="68" spans="2:16" ht="15.75" customHeight="1" x14ac:dyDescent="0.25">
      <c r="B68" s="5" t="s">
        <v>149</v>
      </c>
      <c r="C68" s="7"/>
      <c r="D68" s="5" t="s">
        <v>146</v>
      </c>
      <c r="E68" s="6">
        <v>45548</v>
      </c>
      <c r="F68" s="5">
        <v>-100</v>
      </c>
      <c r="G68" s="7">
        <v>1</v>
      </c>
      <c r="H68" s="8"/>
      <c r="I68" s="8"/>
      <c r="J68" s="8"/>
      <c r="K68" s="8"/>
      <c r="L68" s="5" t="s">
        <v>150</v>
      </c>
      <c r="M68" s="7"/>
      <c r="N68" s="7">
        <f>(G68-M68)*100</f>
        <v>100</v>
      </c>
      <c r="O68" s="18">
        <f>1-(M68/G68)</f>
        <v>1</v>
      </c>
    </row>
    <row r="69" spans="2:16" ht="15.75" customHeight="1" x14ac:dyDescent="0.25">
      <c r="B69" s="5" t="s">
        <v>151</v>
      </c>
      <c r="C69" s="7"/>
      <c r="D69" s="5" t="s">
        <v>146</v>
      </c>
      <c r="E69" s="6">
        <v>45574</v>
      </c>
      <c r="F69" s="5">
        <v>-100</v>
      </c>
      <c r="G69" s="7">
        <v>5.5</v>
      </c>
      <c r="H69" s="8"/>
      <c r="I69" s="8"/>
      <c r="J69" s="8"/>
      <c r="K69" s="8"/>
      <c r="L69" s="5" t="s">
        <v>123</v>
      </c>
      <c r="M69" s="7">
        <v>3.49</v>
      </c>
      <c r="N69" s="7">
        <f>ABS(G69-M69)*100</f>
        <v>200.99999999999997</v>
      </c>
      <c r="O69" s="18">
        <f>1-(M69/G69)</f>
        <v>0.36545454545454537</v>
      </c>
    </row>
    <row r="70" spans="2:16" ht="15.75" customHeight="1" x14ac:dyDescent="0.25">
      <c r="B70" s="9" t="s">
        <v>56</v>
      </c>
      <c r="C70" s="11"/>
      <c r="D70" s="9" t="s">
        <v>152</v>
      </c>
      <c r="E70" s="10">
        <v>45562</v>
      </c>
      <c r="F70" s="9">
        <v>100</v>
      </c>
      <c r="G70" s="11">
        <v>44</v>
      </c>
      <c r="H70" s="8"/>
      <c r="I70" s="8"/>
      <c r="J70" s="8"/>
      <c r="K70" s="8"/>
      <c r="L70" s="9" t="s">
        <v>153</v>
      </c>
      <c r="M70" s="11">
        <v>47</v>
      </c>
      <c r="N70" s="11">
        <f>ABS(G70-M70)*100</f>
        <v>300</v>
      </c>
      <c r="O70" s="12">
        <f>1-(G70/M70)</f>
        <v>6.3829787234042534E-2</v>
      </c>
    </row>
    <row r="71" spans="2:16" ht="15.75" customHeight="1" x14ac:dyDescent="0.25">
      <c r="B71" s="5" t="s">
        <v>154</v>
      </c>
      <c r="C71" s="7"/>
      <c r="D71" s="5" t="s">
        <v>152</v>
      </c>
      <c r="E71" s="6">
        <v>45561</v>
      </c>
      <c r="F71" s="5">
        <v>-100</v>
      </c>
      <c r="G71" s="7">
        <v>43.4</v>
      </c>
      <c r="H71" s="8"/>
      <c r="I71" s="8"/>
      <c r="J71" s="8"/>
      <c r="K71" s="8"/>
      <c r="L71" s="5" t="s">
        <v>153</v>
      </c>
      <c r="M71" s="7">
        <v>47</v>
      </c>
      <c r="N71" s="7">
        <f>ABS(G71-M71)*100</f>
        <v>360.00000000000011</v>
      </c>
      <c r="O71" s="18">
        <f>1-(G71/M71)</f>
        <v>7.6595744680851063E-2</v>
      </c>
      <c r="P71" t="s">
        <v>155</v>
      </c>
    </row>
    <row r="72" spans="2:16" ht="15.75" customHeight="1" x14ac:dyDescent="0.25">
      <c r="B72" s="9" t="s">
        <v>56</v>
      </c>
      <c r="C72" s="11"/>
      <c r="D72" s="9" t="s">
        <v>156</v>
      </c>
      <c r="E72" s="10">
        <v>45567</v>
      </c>
      <c r="F72" s="9">
        <v>100</v>
      </c>
      <c r="G72" s="11">
        <v>72.5</v>
      </c>
      <c r="H72" s="8"/>
      <c r="I72" s="8"/>
      <c r="J72" s="8"/>
      <c r="K72" s="8"/>
      <c r="L72" s="9" t="s">
        <v>157</v>
      </c>
      <c r="M72" s="11">
        <v>82</v>
      </c>
      <c r="N72" s="11">
        <f>ABS(G72-M72)*100</f>
        <v>950</v>
      </c>
      <c r="O72" s="12">
        <f>1-(G72/M72)</f>
        <v>0.11585365853658536</v>
      </c>
    </row>
    <row r="73" spans="2:16" ht="15.75" customHeight="1" x14ac:dyDescent="0.25">
      <c r="B73" s="5" t="s">
        <v>158</v>
      </c>
      <c r="C73" s="7"/>
      <c r="D73" s="5" t="s">
        <v>156</v>
      </c>
      <c r="E73" s="6">
        <v>45567</v>
      </c>
      <c r="F73" s="5">
        <v>-100</v>
      </c>
      <c r="G73" s="7">
        <v>9</v>
      </c>
      <c r="H73" s="8"/>
      <c r="I73" s="8"/>
      <c r="J73" s="8"/>
      <c r="K73" s="8"/>
      <c r="L73" s="5" t="s">
        <v>123</v>
      </c>
      <c r="M73" s="7">
        <v>3.8</v>
      </c>
      <c r="N73" s="7">
        <f>ABS(G73-M73)*100</f>
        <v>520</v>
      </c>
      <c r="O73" s="18">
        <f>1-(M73/G73)</f>
        <v>0.57777777777777772</v>
      </c>
    </row>
    <row r="74" spans="2:16" ht="15.75" customHeight="1" x14ac:dyDescent="0.25">
      <c r="B74" s="5" t="s">
        <v>159</v>
      </c>
      <c r="C74" s="7"/>
      <c r="D74" s="5" t="s">
        <v>156</v>
      </c>
      <c r="E74" s="6">
        <v>45579</v>
      </c>
      <c r="F74" s="5">
        <v>-100</v>
      </c>
      <c r="G74" s="7">
        <v>2</v>
      </c>
      <c r="H74" s="8"/>
      <c r="I74" s="8"/>
      <c r="J74" s="8"/>
      <c r="K74" s="8"/>
      <c r="L74" s="5" t="s">
        <v>157</v>
      </c>
      <c r="M74" s="11"/>
      <c r="N74" s="11"/>
      <c r="O74" s="12"/>
      <c r="P74" t="s">
        <v>160</v>
      </c>
    </row>
    <row r="75" spans="2:16" ht="15.75" customHeight="1" x14ac:dyDescent="0.25">
      <c r="B75" s="9" t="s">
        <v>56</v>
      </c>
      <c r="C75" s="11"/>
      <c r="D75" s="9" t="s">
        <v>161</v>
      </c>
      <c r="E75" s="10">
        <v>45575</v>
      </c>
      <c r="F75" s="9">
        <v>100</v>
      </c>
      <c r="G75" s="11">
        <v>29.75</v>
      </c>
      <c r="H75" s="8"/>
      <c r="I75" s="8"/>
      <c r="J75" s="8"/>
      <c r="K75" s="8"/>
      <c r="L75" s="9" t="s">
        <v>162</v>
      </c>
      <c r="M75" s="11">
        <v>29.45</v>
      </c>
      <c r="N75" s="11">
        <f>(M75-G75)*100</f>
        <v>-30.000000000000071</v>
      </c>
      <c r="O75" s="12">
        <f>1-(G75/M75)</f>
        <v>-1.0186757215619791E-2</v>
      </c>
      <c r="P75" t="s">
        <v>163</v>
      </c>
    </row>
    <row r="76" spans="2:16" ht="15.75" customHeight="1" x14ac:dyDescent="0.25">
      <c r="B76" s="5" t="s">
        <v>164</v>
      </c>
      <c r="C76" s="7"/>
      <c r="D76" s="5" t="s">
        <v>161</v>
      </c>
      <c r="E76" s="6">
        <v>45575</v>
      </c>
      <c r="F76" s="5">
        <v>-100</v>
      </c>
      <c r="G76" s="7">
        <v>5.7</v>
      </c>
      <c r="H76" s="8"/>
      <c r="I76" s="8"/>
      <c r="J76" s="8"/>
      <c r="K76" s="8"/>
      <c r="L76" s="5" t="s">
        <v>162</v>
      </c>
      <c r="M76" s="7">
        <v>5.6</v>
      </c>
      <c r="N76" s="7">
        <f>ABS(G76-M76)*100</f>
        <v>10.000000000000053</v>
      </c>
      <c r="O76" s="18">
        <f>1-(M76/G76)</f>
        <v>1.7543859649122862E-2</v>
      </c>
      <c r="P76" t="s">
        <v>165</v>
      </c>
    </row>
    <row r="77" spans="2:16" ht="15.75" customHeight="1" x14ac:dyDescent="0.25">
      <c r="B77" s="9" t="s">
        <v>166</v>
      </c>
      <c r="C77" s="11"/>
      <c r="D77" s="9" t="s">
        <v>167</v>
      </c>
      <c r="E77" s="10">
        <v>45575</v>
      </c>
      <c r="F77" s="9">
        <v>100</v>
      </c>
      <c r="G77" s="11">
        <v>56.12</v>
      </c>
      <c r="H77" s="8"/>
      <c r="I77" s="8"/>
      <c r="J77" s="8"/>
      <c r="K77" s="8"/>
      <c r="L77" s="5" t="s">
        <v>157</v>
      </c>
      <c r="M77" s="7">
        <v>57.44</v>
      </c>
      <c r="N77" s="7">
        <f>ABS(G77-M77)*100</f>
        <v>132.00000000000003</v>
      </c>
      <c r="O77" s="18">
        <f>1-(G77/M77)</f>
        <v>2.2980501392757646E-2</v>
      </c>
    </row>
    <row r="78" spans="2:16" ht="15.75" customHeight="1" x14ac:dyDescent="0.25">
      <c r="B78" s="5" t="s">
        <v>168</v>
      </c>
      <c r="C78" s="7"/>
      <c r="D78" s="5" t="s">
        <v>167</v>
      </c>
      <c r="E78" s="6">
        <v>45581</v>
      </c>
      <c r="F78" s="5">
        <v>-100</v>
      </c>
      <c r="G78" s="7">
        <v>2</v>
      </c>
      <c r="H78" s="8"/>
      <c r="I78" s="8"/>
      <c r="J78" s="8"/>
      <c r="K78" s="8"/>
      <c r="L78" s="5" t="s">
        <v>157</v>
      </c>
      <c r="M78" s="7">
        <v>0.14000000000000001</v>
      </c>
      <c r="N78" s="7">
        <f>(G78-M78)*100</f>
        <v>186</v>
      </c>
      <c r="O78" s="18">
        <f>1-(M78/G78)</f>
        <v>0.92999999999999994</v>
      </c>
    </row>
    <row r="79" spans="2:16" ht="15.75" customHeight="1" x14ac:dyDescent="0.25">
      <c r="B79" s="9" t="s">
        <v>169</v>
      </c>
      <c r="C79" s="11"/>
      <c r="D79" s="9" t="s">
        <v>106</v>
      </c>
      <c r="E79" s="10">
        <v>45581</v>
      </c>
      <c r="F79" s="9">
        <v>100</v>
      </c>
      <c r="G79" s="11">
        <v>69.7</v>
      </c>
      <c r="H79" s="8"/>
      <c r="I79" s="8"/>
      <c r="J79" s="8"/>
      <c r="K79" s="8"/>
      <c r="L79" s="9" t="s">
        <v>157</v>
      </c>
      <c r="M79" s="11">
        <v>81.400000000000006</v>
      </c>
      <c r="N79" s="11">
        <f>ABS(G79-M79)*100</f>
        <v>1170.0000000000002</v>
      </c>
      <c r="O79" s="12">
        <f>1-(G79/M79)</f>
        <v>0.14373464373464373</v>
      </c>
    </row>
    <row r="80" spans="2:16" ht="15.75" customHeight="1" x14ac:dyDescent="0.25">
      <c r="B80" s="5" t="s">
        <v>170</v>
      </c>
      <c r="C80" s="7"/>
      <c r="D80" s="5" t="s">
        <v>106</v>
      </c>
      <c r="E80" s="6">
        <v>45582</v>
      </c>
      <c r="F80" s="5">
        <v>-100</v>
      </c>
      <c r="G80" s="7">
        <v>6.1</v>
      </c>
      <c r="H80" s="8"/>
      <c r="I80" s="8"/>
      <c r="J80" s="8"/>
      <c r="K80" s="8"/>
      <c r="L80" s="5" t="s">
        <v>157</v>
      </c>
      <c r="M80" s="7">
        <v>4.7</v>
      </c>
      <c r="N80" s="7">
        <f>(G80-M80)*100</f>
        <v>139.99999999999994</v>
      </c>
      <c r="O80" s="18">
        <f>1-(M80/G80)</f>
        <v>0.2295081967213114</v>
      </c>
    </row>
    <row r="81" spans="2:16" ht="15.75" customHeight="1" x14ac:dyDescent="0.25">
      <c r="B81" s="9" t="s">
        <v>56</v>
      </c>
      <c r="C81" s="11"/>
      <c r="D81" s="9" t="s">
        <v>171</v>
      </c>
      <c r="E81" s="10">
        <v>45588</v>
      </c>
      <c r="F81" s="9">
        <v>100</v>
      </c>
      <c r="G81" s="11">
        <v>32.25</v>
      </c>
      <c r="H81" s="11">
        <f>F81*G81</f>
        <v>3225</v>
      </c>
      <c r="I81" s="11"/>
      <c r="J81" s="11"/>
      <c r="K81" s="11"/>
      <c r="L81" s="9"/>
      <c r="M81" s="11"/>
      <c r="N81" s="9"/>
      <c r="O81" s="9"/>
    </row>
    <row r="82" spans="2:16" ht="15.75" customHeight="1" x14ac:dyDescent="0.25">
      <c r="B82" s="5" t="s">
        <v>172</v>
      </c>
      <c r="C82" s="7"/>
      <c r="D82" s="5" t="s">
        <v>171</v>
      </c>
      <c r="E82" s="6">
        <v>45588</v>
      </c>
      <c r="F82" s="5">
        <v>-100</v>
      </c>
      <c r="G82" s="7">
        <v>9</v>
      </c>
      <c r="H82" s="8"/>
      <c r="I82" s="8"/>
      <c r="J82" s="8"/>
      <c r="K82" s="8"/>
      <c r="L82" s="5" t="s">
        <v>173</v>
      </c>
      <c r="M82" s="7">
        <v>4.8</v>
      </c>
      <c r="N82" s="7">
        <f>ABS(G82-M82)*100</f>
        <v>420</v>
      </c>
      <c r="O82" s="18">
        <f>1-(M82/G82)</f>
        <v>0.46666666666666667</v>
      </c>
    </row>
    <row r="83" spans="2:16" ht="15.75" customHeight="1" x14ac:dyDescent="0.25">
      <c r="B83" s="5" t="s">
        <v>174</v>
      </c>
      <c r="C83" s="7">
        <v>40</v>
      </c>
      <c r="D83" s="5" t="s">
        <v>171</v>
      </c>
      <c r="E83" s="6">
        <v>45657</v>
      </c>
      <c r="F83" s="5">
        <v>-100</v>
      </c>
      <c r="G83" s="7">
        <v>8</v>
      </c>
      <c r="I83" s="7"/>
      <c r="J83" s="7">
        <f>F83*G83</f>
        <v>-800</v>
      </c>
      <c r="K83" s="7">
        <f>(C83-G83)*ABS(F83)</f>
        <v>3200</v>
      </c>
      <c r="L83" s="5"/>
      <c r="M83" s="7"/>
      <c r="N83" s="7" t="str">
        <f>IF(M83&gt;"",ABS(G83-M83)*100,"")</f>
        <v/>
      </c>
      <c r="O83" s="5"/>
    </row>
    <row r="84" spans="2:16" ht="15.75" customHeight="1" x14ac:dyDescent="0.25">
      <c r="B84" s="9" t="s">
        <v>56</v>
      </c>
      <c r="C84" s="11"/>
      <c r="D84" s="9" t="s">
        <v>175</v>
      </c>
      <c r="E84" s="10">
        <v>45596</v>
      </c>
      <c r="F84" s="9">
        <v>100</v>
      </c>
      <c r="G84" s="11">
        <v>48.64</v>
      </c>
      <c r="H84" s="11">
        <f>F84*G84</f>
        <v>4864</v>
      </c>
      <c r="I84" s="11"/>
      <c r="J84" s="11"/>
      <c r="K84" s="11"/>
      <c r="L84" s="9"/>
      <c r="M84" s="11"/>
      <c r="N84" s="9"/>
      <c r="O84" s="9"/>
    </row>
    <row r="85" spans="2:16" ht="15.75" customHeight="1" x14ac:dyDescent="0.25">
      <c r="B85" s="5" t="s">
        <v>176</v>
      </c>
      <c r="C85" s="7"/>
      <c r="D85" s="5" t="s">
        <v>175</v>
      </c>
      <c r="E85" s="6">
        <v>45595</v>
      </c>
      <c r="F85" s="5">
        <v>-100</v>
      </c>
      <c r="G85" s="7">
        <v>8</v>
      </c>
      <c r="H85" s="8"/>
      <c r="I85" s="8"/>
      <c r="J85" s="8"/>
      <c r="K85" s="8"/>
      <c r="L85" s="5" t="s">
        <v>177</v>
      </c>
      <c r="M85" s="7">
        <v>5.6</v>
      </c>
      <c r="N85" s="7">
        <f>ABS(G85-M85)*100</f>
        <v>240.00000000000003</v>
      </c>
      <c r="O85" s="18">
        <f>1-(M85/G85)</f>
        <v>0.30000000000000004</v>
      </c>
    </row>
    <row r="86" spans="2:16" ht="15.75" customHeight="1" x14ac:dyDescent="0.25">
      <c r="B86" s="5" t="s">
        <v>178</v>
      </c>
      <c r="C86" s="7"/>
      <c r="D86" s="5" t="s">
        <v>175</v>
      </c>
      <c r="E86" s="6">
        <v>45607</v>
      </c>
      <c r="F86" s="5">
        <v>-100</v>
      </c>
      <c r="G86" s="7">
        <v>4</v>
      </c>
      <c r="H86" s="8"/>
      <c r="I86" s="8"/>
      <c r="J86" s="8"/>
      <c r="K86" s="8"/>
      <c r="L86" s="5" t="s">
        <v>179</v>
      </c>
      <c r="M86" s="7">
        <v>0.5</v>
      </c>
      <c r="N86" s="7">
        <f>(G86-M86)*100</f>
        <v>350</v>
      </c>
      <c r="O86" s="18">
        <f>1-(M86/G86)</f>
        <v>0.875</v>
      </c>
    </row>
    <row r="87" spans="2:16" ht="15.75" customHeight="1" x14ac:dyDescent="0.25">
      <c r="B87" s="9" t="s">
        <v>56</v>
      </c>
      <c r="C87" s="11"/>
      <c r="D87" s="9" t="s">
        <v>146</v>
      </c>
      <c r="E87" s="10">
        <v>45609</v>
      </c>
      <c r="F87" s="9">
        <v>100</v>
      </c>
      <c r="G87" s="11">
        <v>36</v>
      </c>
      <c r="H87" s="8"/>
      <c r="I87" s="8"/>
      <c r="J87" s="8"/>
      <c r="K87" s="8"/>
      <c r="L87" s="9" t="s">
        <v>179</v>
      </c>
      <c r="M87" s="11">
        <v>38.75</v>
      </c>
      <c r="N87" s="11">
        <f>ABS(G87-M87)*100</f>
        <v>275</v>
      </c>
      <c r="O87" s="12">
        <f>1-(G87/M87)</f>
        <v>7.096774193548383E-2</v>
      </c>
    </row>
    <row r="88" spans="2:16" ht="15.75" customHeight="1" x14ac:dyDescent="0.25">
      <c r="B88" s="5" t="s">
        <v>180</v>
      </c>
      <c r="C88" s="7"/>
      <c r="D88" s="5" t="s">
        <v>146</v>
      </c>
      <c r="E88" s="6">
        <v>45610</v>
      </c>
      <c r="F88" s="5">
        <v>-100</v>
      </c>
      <c r="G88" s="7">
        <v>35.5</v>
      </c>
      <c r="H88" s="8"/>
      <c r="I88" s="8"/>
      <c r="J88" s="8"/>
      <c r="K88" s="8"/>
      <c r="L88" s="5" t="s">
        <v>179</v>
      </c>
      <c r="M88" s="7">
        <v>38.75</v>
      </c>
      <c r="N88" s="7">
        <f>ABS(G88-M88)*100</f>
        <v>325</v>
      </c>
      <c r="O88" s="18">
        <f>1-(G88/M88)</f>
        <v>8.3870967741935476E-2</v>
      </c>
      <c r="P88" t="s">
        <v>181</v>
      </c>
    </row>
    <row r="89" spans="2:16" ht="15.75" customHeight="1" x14ac:dyDescent="0.25">
      <c r="B89" s="9" t="s">
        <v>56</v>
      </c>
      <c r="C89" s="11"/>
      <c r="D89" s="9" t="s">
        <v>106</v>
      </c>
      <c r="E89" s="10">
        <v>45609</v>
      </c>
      <c r="F89" s="9">
        <v>100</v>
      </c>
      <c r="G89" s="11">
        <v>83.2</v>
      </c>
      <c r="H89" s="11">
        <f>F89*G89</f>
        <v>8320</v>
      </c>
      <c r="I89" s="11"/>
      <c r="J89" s="11"/>
      <c r="K89" s="11"/>
      <c r="L89" s="9"/>
      <c r="M89" s="11"/>
      <c r="N89" s="9"/>
      <c r="O89" s="9"/>
    </row>
    <row r="90" spans="2:16" ht="15.75" customHeight="1" x14ac:dyDescent="0.25">
      <c r="B90" s="5" t="s">
        <v>182</v>
      </c>
      <c r="C90" s="7">
        <v>85</v>
      </c>
      <c r="D90" s="5" t="s">
        <v>106</v>
      </c>
      <c r="E90" s="6">
        <v>45609</v>
      </c>
      <c r="F90" s="5">
        <v>-100</v>
      </c>
      <c r="G90" s="7">
        <v>15.1</v>
      </c>
      <c r="I90" s="7"/>
      <c r="J90" s="7">
        <f>F90*G90</f>
        <v>-1510</v>
      </c>
      <c r="K90" s="7">
        <f>(C90-G90)*ABS(F90)</f>
        <v>6990.0000000000009</v>
      </c>
      <c r="L90" s="5"/>
      <c r="M90" s="7"/>
      <c r="N90" s="7" t="str">
        <f>IF(M90&gt;"",ABS(G90-M90)*100,"")</f>
        <v/>
      </c>
      <c r="O90" s="18">
        <f>1-(M90/G90)</f>
        <v>1</v>
      </c>
    </row>
    <row r="91" spans="2:16" ht="15.75" customHeight="1" x14ac:dyDescent="0.25">
      <c r="B91" s="5" t="s">
        <v>183</v>
      </c>
      <c r="C91" s="7">
        <v>90</v>
      </c>
      <c r="D91" s="5" t="s">
        <v>106</v>
      </c>
      <c r="E91" s="6">
        <v>45609</v>
      </c>
      <c r="F91" s="5">
        <v>-100</v>
      </c>
      <c r="G91" s="7">
        <v>8.5</v>
      </c>
      <c r="H91" s="8"/>
      <c r="I91" s="8"/>
      <c r="J91" s="8"/>
      <c r="K91" s="8"/>
      <c r="L91" s="5"/>
      <c r="M91" s="7">
        <v>8.5</v>
      </c>
      <c r="N91" s="7">
        <f>(M91)*100</f>
        <v>850</v>
      </c>
      <c r="O91" s="18">
        <v>1</v>
      </c>
      <c r="P91" t="s">
        <v>184</v>
      </c>
    </row>
    <row r="92" spans="2:16" ht="15.75" customHeight="1" x14ac:dyDescent="0.25">
      <c r="B92" s="5" t="s">
        <v>185</v>
      </c>
      <c r="C92" s="7">
        <v>80</v>
      </c>
      <c r="D92" s="5" t="s">
        <v>106</v>
      </c>
      <c r="E92" s="6">
        <v>45614</v>
      </c>
      <c r="F92" s="5">
        <v>-100</v>
      </c>
      <c r="G92" s="7">
        <v>16</v>
      </c>
      <c r="I92" s="7"/>
      <c r="J92" s="7">
        <f>F92*G92</f>
        <v>-1600</v>
      </c>
      <c r="K92" s="7">
        <f>(C92-G92)*ABS(F92)</f>
        <v>6400</v>
      </c>
      <c r="L92" s="5"/>
      <c r="M92" s="7"/>
      <c r="N92" s="7" t="str">
        <f>IF(M92&gt;"",ABS(G92-M92)*100,"")</f>
        <v/>
      </c>
      <c r="O92" s="5"/>
    </row>
    <row r="93" spans="2:16" ht="15.75" customHeight="1" x14ac:dyDescent="0.25">
      <c r="B93" s="5" t="s">
        <v>186</v>
      </c>
      <c r="C93" s="7">
        <v>75</v>
      </c>
      <c r="D93" s="5" t="s">
        <v>106</v>
      </c>
      <c r="E93" s="6">
        <v>45639</v>
      </c>
      <c r="F93" s="5">
        <v>-100</v>
      </c>
      <c r="G93" s="7">
        <v>11.5</v>
      </c>
      <c r="I93" s="7"/>
      <c r="J93" s="7">
        <f>F93*G93</f>
        <v>-1150</v>
      </c>
      <c r="K93" s="7">
        <f>(C93-G93)*ABS(F93)</f>
        <v>6350</v>
      </c>
      <c r="L93" s="5"/>
      <c r="M93" s="7"/>
      <c r="N93" s="7" t="str">
        <f>IF(M93&gt;"",ABS(G93-M93)*100,"")</f>
        <v/>
      </c>
      <c r="O93" s="5"/>
    </row>
    <row r="94" spans="2:16" ht="15.75" customHeight="1" x14ac:dyDescent="0.25">
      <c r="B94" s="5" t="s">
        <v>187</v>
      </c>
      <c r="C94" s="7">
        <v>60</v>
      </c>
      <c r="D94" s="5" t="s">
        <v>80</v>
      </c>
      <c r="E94" s="6">
        <v>45616</v>
      </c>
      <c r="F94" s="5">
        <v>-100</v>
      </c>
      <c r="G94" s="7">
        <v>13.4</v>
      </c>
      <c r="H94" s="8"/>
      <c r="I94" s="8"/>
      <c r="J94" s="8"/>
      <c r="K94" s="8"/>
      <c r="L94" s="5" t="s">
        <v>177</v>
      </c>
      <c r="M94" s="7">
        <v>7</v>
      </c>
      <c r="N94" s="7">
        <f>ABS(G94-M94)*100</f>
        <v>640</v>
      </c>
      <c r="O94" s="18">
        <f>1-(M94/G94)</f>
        <v>0.47761194029850751</v>
      </c>
      <c r="P94" t="s">
        <v>188</v>
      </c>
    </row>
    <row r="95" spans="2:16" ht="15.75" customHeight="1" x14ac:dyDescent="0.25">
      <c r="B95" s="9" t="s">
        <v>56</v>
      </c>
      <c r="C95" s="11"/>
      <c r="D95" s="9" t="s">
        <v>189</v>
      </c>
      <c r="E95" s="10">
        <v>45628</v>
      </c>
      <c r="F95" s="9">
        <v>200</v>
      </c>
      <c r="G95" s="11">
        <v>25.35</v>
      </c>
      <c r="H95" s="11">
        <f>F95*G95</f>
        <v>5070</v>
      </c>
      <c r="I95" s="11"/>
      <c r="J95" s="11"/>
      <c r="K95" s="11"/>
      <c r="L95" s="9"/>
      <c r="M95" s="11"/>
      <c r="N95" s="9"/>
      <c r="O95" s="9"/>
    </row>
    <row r="96" spans="2:16" ht="15.75" customHeight="1" x14ac:dyDescent="0.25">
      <c r="B96" s="5" t="s">
        <v>190</v>
      </c>
      <c r="C96" s="7">
        <v>32</v>
      </c>
      <c r="D96" s="5" t="s">
        <v>189</v>
      </c>
      <c r="E96" s="6">
        <v>45623</v>
      </c>
      <c r="F96" s="5">
        <v>-100</v>
      </c>
      <c r="G96" s="7">
        <v>9.5</v>
      </c>
      <c r="I96" s="7"/>
      <c r="J96" s="7">
        <f>F96*G96</f>
        <v>-950</v>
      </c>
      <c r="K96" s="7">
        <f>(C96-G96)*ABS(F96)</f>
        <v>2250</v>
      </c>
      <c r="L96" s="5"/>
      <c r="M96" s="7"/>
      <c r="N96" s="7" t="str">
        <f>IF(M96&gt;"",ABS(G96-M96)*100,"")</f>
        <v/>
      </c>
      <c r="O96" s="5"/>
    </row>
    <row r="97" spans="2:16" ht="15.75" customHeight="1" x14ac:dyDescent="0.25">
      <c r="B97" s="5" t="s">
        <v>186</v>
      </c>
      <c r="C97" s="7">
        <v>75</v>
      </c>
      <c r="D97" s="5" t="s">
        <v>191</v>
      </c>
      <c r="E97" s="6">
        <v>45625</v>
      </c>
      <c r="F97" s="5">
        <v>100</v>
      </c>
      <c r="G97" s="7">
        <v>65.5</v>
      </c>
      <c r="H97" s="11">
        <f>F97*G97</f>
        <v>6550</v>
      </c>
      <c r="I97" s="7"/>
      <c r="J97" s="7"/>
      <c r="K97" s="7"/>
      <c r="L97" s="5"/>
      <c r="M97" s="7"/>
      <c r="N97" s="7" t="str">
        <f>IF(M97&gt;"",ABS(G97-M97)*100,"")</f>
        <v/>
      </c>
      <c r="O97" s="5"/>
      <c r="P97" t="s">
        <v>192</v>
      </c>
    </row>
    <row r="98" spans="2:16" ht="15.75" customHeight="1" x14ac:dyDescent="0.25">
      <c r="B98" s="9" t="s">
        <v>56</v>
      </c>
      <c r="C98" s="11"/>
      <c r="D98" s="9" t="s">
        <v>193</v>
      </c>
      <c r="E98" s="10">
        <v>45630</v>
      </c>
      <c r="F98" s="9">
        <v>100</v>
      </c>
      <c r="G98" s="11">
        <v>35</v>
      </c>
      <c r="H98" s="11">
        <f>F98*G98</f>
        <v>3500</v>
      </c>
      <c r="I98" s="11"/>
      <c r="J98" s="11"/>
      <c r="K98" s="11"/>
      <c r="L98" s="9"/>
      <c r="M98" s="11"/>
      <c r="N98" s="9"/>
      <c r="O98" s="9"/>
    </row>
    <row r="99" spans="2:16" ht="15.75" customHeight="1" x14ac:dyDescent="0.25">
      <c r="B99" s="9" t="s">
        <v>56</v>
      </c>
      <c r="C99" s="11"/>
      <c r="D99" s="9" t="s">
        <v>193</v>
      </c>
      <c r="E99" s="10">
        <v>45632</v>
      </c>
      <c r="F99" s="9">
        <v>100</v>
      </c>
      <c r="G99" s="11">
        <v>32.5</v>
      </c>
      <c r="H99" s="11">
        <f>F99*G99</f>
        <v>3250</v>
      </c>
      <c r="I99" s="11"/>
      <c r="J99" s="11"/>
      <c r="K99" s="11"/>
      <c r="L99" s="9"/>
      <c r="M99" s="11"/>
      <c r="N99" s="9"/>
      <c r="O99" s="9"/>
    </row>
    <row r="100" spans="2:16" ht="15.75" customHeight="1" x14ac:dyDescent="0.25">
      <c r="B100" s="5" t="s">
        <v>194</v>
      </c>
      <c r="C100" s="7">
        <v>40</v>
      </c>
      <c r="D100" s="5" t="s">
        <v>193</v>
      </c>
      <c r="E100" s="6">
        <v>45630</v>
      </c>
      <c r="F100" s="5">
        <v>-100</v>
      </c>
      <c r="G100" s="7">
        <v>7.2</v>
      </c>
      <c r="I100" s="7"/>
      <c r="J100" s="7">
        <f>F100*G100</f>
        <v>-720</v>
      </c>
      <c r="K100" s="7">
        <f>(C100-G100)*ABS(F100)</f>
        <v>3279.9999999999995</v>
      </c>
      <c r="L100" s="5"/>
      <c r="M100" s="7"/>
      <c r="N100" s="7" t="str">
        <f>IF(M100&gt;"",ABS(G100-M100)*100,"")</f>
        <v/>
      </c>
      <c r="O100" s="5"/>
    </row>
    <row r="101" spans="2:16" ht="15.75" customHeight="1" x14ac:dyDescent="0.25">
      <c r="B101" s="5" t="s">
        <v>195</v>
      </c>
      <c r="C101" s="7">
        <v>40</v>
      </c>
      <c r="D101" s="5" t="s">
        <v>193</v>
      </c>
      <c r="E101" s="6">
        <v>45631</v>
      </c>
      <c r="F101" s="5">
        <v>-100</v>
      </c>
      <c r="G101" s="7">
        <v>3</v>
      </c>
      <c r="I101" s="7">
        <f>F101*G101</f>
        <v>-300</v>
      </c>
      <c r="J101" s="7"/>
      <c r="K101" s="7"/>
      <c r="L101" s="5"/>
      <c r="M101" s="7"/>
      <c r="N101" s="7"/>
      <c r="O101" s="18"/>
    </row>
    <row r="102" spans="2:16" ht="15.75" customHeight="1" x14ac:dyDescent="0.25">
      <c r="B102" s="9" t="s">
        <v>56</v>
      </c>
      <c r="C102" s="11"/>
      <c r="D102" s="9" t="s">
        <v>120</v>
      </c>
      <c r="E102" s="10">
        <v>45637</v>
      </c>
      <c r="F102" s="9">
        <v>100</v>
      </c>
      <c r="G102" s="11">
        <v>38.200000000000003</v>
      </c>
      <c r="H102" s="11">
        <f>F102*G102</f>
        <v>3820.0000000000005</v>
      </c>
      <c r="I102" s="11"/>
      <c r="J102" s="11"/>
      <c r="K102" s="11"/>
      <c r="L102" s="9"/>
      <c r="M102" s="11"/>
      <c r="N102" s="9"/>
      <c r="O102" s="9"/>
    </row>
    <row r="103" spans="2:16" ht="15.75" customHeight="1" x14ac:dyDescent="0.25">
      <c r="B103" s="5" t="s">
        <v>196</v>
      </c>
      <c r="C103" s="7">
        <v>50</v>
      </c>
      <c r="D103" s="5" t="s">
        <v>120</v>
      </c>
      <c r="E103" s="6">
        <v>45637</v>
      </c>
      <c r="F103" s="5">
        <v>-100</v>
      </c>
      <c r="G103" s="7">
        <v>13.1</v>
      </c>
      <c r="I103" s="7"/>
      <c r="J103" s="7">
        <f>F103*G103</f>
        <v>-1310</v>
      </c>
      <c r="K103" s="7">
        <f>(C103-G103)*ABS(F103)</f>
        <v>3690</v>
      </c>
      <c r="L103" s="5"/>
      <c r="M103" s="7"/>
      <c r="N103" s="7" t="str">
        <f>IF(M103&gt;"",ABS(G103-M103)*100,"")</f>
        <v/>
      </c>
      <c r="O103" s="5"/>
    </row>
    <row r="104" spans="2:16" ht="15.75" customHeight="1" x14ac:dyDescent="0.25">
      <c r="B104" s="9" t="s">
        <v>56</v>
      </c>
      <c r="C104" s="11"/>
      <c r="D104" s="9" t="s">
        <v>197</v>
      </c>
      <c r="E104" s="10">
        <v>45644</v>
      </c>
      <c r="F104" s="9">
        <v>100</v>
      </c>
      <c r="G104" s="11">
        <v>26.2</v>
      </c>
      <c r="H104" s="11">
        <f>F104*G104</f>
        <v>2620</v>
      </c>
      <c r="I104" s="11"/>
      <c r="J104" s="11"/>
      <c r="K104" s="11"/>
      <c r="L104" s="9"/>
      <c r="M104" s="11"/>
      <c r="N104" s="9"/>
      <c r="O104" s="9"/>
    </row>
    <row r="105" spans="2:16" ht="15.75" customHeight="1" x14ac:dyDescent="0.25">
      <c r="B105" s="5" t="s">
        <v>198</v>
      </c>
      <c r="C105" s="7">
        <v>32</v>
      </c>
      <c r="D105" s="5" t="s">
        <v>197</v>
      </c>
      <c r="E105" s="6">
        <v>45644</v>
      </c>
      <c r="F105" s="5">
        <v>-100</v>
      </c>
      <c r="G105" s="7">
        <v>5.95</v>
      </c>
      <c r="I105" s="7"/>
      <c r="J105" s="7">
        <f>F105*G105</f>
        <v>-595</v>
      </c>
      <c r="K105" s="7">
        <f>(C105-G105)*ABS(F105)</f>
        <v>2605</v>
      </c>
      <c r="L105" s="5"/>
      <c r="M105" s="7"/>
      <c r="N105" s="7" t="str">
        <f>IF(M105&gt;"",ABS(G105-M105)*100,"")</f>
        <v/>
      </c>
      <c r="O105" s="5"/>
    </row>
    <row r="106" spans="2:16" ht="15.75" customHeight="1" x14ac:dyDescent="0.25">
      <c r="B106" s="5" t="s">
        <v>199</v>
      </c>
      <c r="C106" s="7">
        <v>70</v>
      </c>
      <c r="D106" s="5" t="s">
        <v>200</v>
      </c>
      <c r="E106" s="6">
        <v>45644</v>
      </c>
      <c r="F106" s="5">
        <v>100</v>
      </c>
      <c r="G106" s="7">
        <v>63.3</v>
      </c>
      <c r="H106" s="11">
        <f>F106*G106</f>
        <v>6330</v>
      </c>
      <c r="I106" s="7"/>
      <c r="J106" s="8"/>
      <c r="K106" s="8"/>
      <c r="L106" s="5"/>
      <c r="M106" s="7"/>
      <c r="N106" s="7" t="str">
        <f>IF(M106&gt;"",ABS(G106-M106)*100,"")</f>
        <v/>
      </c>
      <c r="O106" s="5"/>
      <c r="P106" t="s">
        <v>201</v>
      </c>
    </row>
    <row r="107" spans="2:16" ht="15.75" customHeight="1" x14ac:dyDescent="0.25">
      <c r="B107" s="5" t="s">
        <v>202</v>
      </c>
      <c r="C107" s="7">
        <v>70</v>
      </c>
      <c r="D107" s="5" t="s">
        <v>200</v>
      </c>
      <c r="E107" s="6">
        <v>45644</v>
      </c>
      <c r="F107" s="5">
        <v>-100</v>
      </c>
      <c r="G107" s="7">
        <v>6.5</v>
      </c>
      <c r="I107" s="7"/>
      <c r="J107" s="7">
        <f>F107*G107</f>
        <v>-650</v>
      </c>
      <c r="K107" s="7">
        <f>(C107-G107)*ABS(F107)</f>
        <v>6350</v>
      </c>
      <c r="L107" s="5"/>
      <c r="M107" s="7"/>
      <c r="N107" s="7" t="str">
        <f>IF(M107&gt;"",ABS(G107-M107)*100,"")</f>
        <v/>
      </c>
      <c r="O107" s="5"/>
    </row>
    <row r="108" spans="2:16" ht="15.75" customHeight="1" x14ac:dyDescent="0.25">
      <c r="B108" s="5"/>
      <c r="C108" s="7"/>
      <c r="D108" s="5"/>
      <c r="E108" s="6"/>
      <c r="F108" s="5"/>
      <c r="G108" s="7"/>
      <c r="H108" s="7">
        <f>F108*G108</f>
        <v>0</v>
      </c>
      <c r="I108" s="7"/>
      <c r="J108" s="7"/>
      <c r="K108" s="7"/>
      <c r="L108" s="5"/>
      <c r="M108" s="7"/>
      <c r="N108" s="5"/>
      <c r="O108" s="5"/>
    </row>
    <row r="109" spans="2:16" ht="15.75" customHeight="1" x14ac:dyDescent="0.25">
      <c r="B109" s="5"/>
      <c r="C109" s="7"/>
      <c r="D109" s="5"/>
      <c r="E109" s="6"/>
      <c r="F109" s="5"/>
      <c r="G109" s="7"/>
      <c r="H109" s="7">
        <f>F109*G109</f>
        <v>0</v>
      </c>
      <c r="I109" s="7"/>
      <c r="J109" s="7"/>
      <c r="K109" s="7"/>
      <c r="L109" s="5"/>
      <c r="M109" s="7"/>
      <c r="N109" s="5"/>
      <c r="O109" s="5"/>
    </row>
    <row r="110" spans="2:16" ht="15.75" customHeight="1" x14ac:dyDescent="0.25">
      <c r="B110" s="5"/>
      <c r="C110" s="7"/>
      <c r="D110" s="5"/>
      <c r="E110" s="6"/>
      <c r="F110" s="5"/>
      <c r="G110" s="7"/>
      <c r="H110" s="5"/>
      <c r="I110" s="5"/>
      <c r="J110" s="5"/>
      <c r="K110" s="5"/>
      <c r="L110" s="5"/>
      <c r="M110" s="7"/>
      <c r="N110" s="5"/>
      <c r="O110" s="5"/>
    </row>
    <row r="111" spans="2:16" ht="15.75" customHeight="1" x14ac:dyDescent="0.25">
      <c r="B111" s="5"/>
      <c r="C111" s="7"/>
      <c r="D111" s="5"/>
      <c r="E111" s="6"/>
      <c r="F111" s="5"/>
      <c r="G111" s="7"/>
      <c r="H111" s="5"/>
      <c r="I111" s="5"/>
      <c r="J111" s="5"/>
      <c r="K111" s="5"/>
      <c r="L111" s="5"/>
      <c r="M111" s="7"/>
      <c r="N111" s="5"/>
      <c r="O111" s="5"/>
    </row>
    <row r="112" spans="2:16" ht="15.75" customHeight="1" x14ac:dyDescent="0.25">
      <c r="B112" s="5"/>
      <c r="C112" s="7"/>
      <c r="D112" s="5"/>
      <c r="E112" s="6"/>
      <c r="F112" s="5"/>
      <c r="G112" s="7"/>
      <c r="H112" s="5"/>
      <c r="I112" s="5"/>
      <c r="J112" s="5"/>
      <c r="K112" s="5"/>
      <c r="L112" s="5"/>
      <c r="M112" s="7"/>
      <c r="N112" s="5"/>
      <c r="O112" s="5"/>
    </row>
    <row r="113" spans="2:15" ht="15.75" customHeight="1" x14ac:dyDescent="0.25">
      <c r="B113" s="5"/>
      <c r="C113" s="7"/>
      <c r="D113" s="5"/>
      <c r="E113" s="6" t="s">
        <v>203</v>
      </c>
      <c r="F113" s="5"/>
      <c r="G113" s="7"/>
      <c r="H113" s="7">
        <f>SUM(H3:H109)</f>
        <v>62292.4</v>
      </c>
      <c r="I113" s="7">
        <f>SUM(I3:I109)</f>
        <v>-300</v>
      </c>
      <c r="J113" s="7">
        <f>SUM(J3:J109)</f>
        <v>-9285</v>
      </c>
      <c r="K113" s="7">
        <f>SUM(K56:K109)</f>
        <v>41115</v>
      </c>
      <c r="L113" s="5"/>
      <c r="M113" s="7" t="s">
        <v>204</v>
      </c>
      <c r="N113" s="13">
        <f>SUM(N3:N109)</f>
        <v>22300.71</v>
      </c>
      <c r="O113" s="26">
        <f>SUM(O3:O109)/COUNT(O3:O109)</f>
        <v>0.29887981147060005</v>
      </c>
    </row>
    <row r="114" spans="2:15" ht="15.75" customHeight="1" x14ac:dyDescent="0.25">
      <c r="B114" s="5"/>
      <c r="C114" s="7"/>
      <c r="D114" s="5"/>
      <c r="E114" s="5"/>
      <c r="F114" s="5"/>
      <c r="G114" s="7"/>
      <c r="H114" s="5"/>
      <c r="I114" s="5"/>
      <c r="J114" s="5"/>
      <c r="K114" s="5"/>
      <c r="L114" s="5"/>
      <c r="M114" s="7"/>
      <c r="N114" s="5"/>
      <c r="O114" s="5"/>
    </row>
    <row r="115" spans="2:15" ht="15.75" customHeight="1" x14ac:dyDescent="0.25">
      <c r="B115" s="5"/>
      <c r="C115" s="7"/>
      <c r="D115" s="5" t="s">
        <v>205</v>
      </c>
      <c r="E115" s="5"/>
      <c r="F115" s="5"/>
      <c r="G115" s="7"/>
      <c r="H115" s="5"/>
      <c r="I115" s="5"/>
      <c r="J115" s="5"/>
      <c r="K115" s="5"/>
      <c r="L115" s="5"/>
      <c r="M115" s="7"/>
      <c r="N115" s="5"/>
      <c r="O115" s="5"/>
    </row>
    <row r="116" spans="2:15" ht="18.75" customHeight="1" x14ac:dyDescent="0.25">
      <c r="B116" s="29" t="s">
        <v>206</v>
      </c>
      <c r="C116" s="31"/>
      <c r="D116" s="5"/>
      <c r="E116" s="5"/>
      <c r="F116" s="5"/>
      <c r="G116" s="7"/>
      <c r="H116" s="5"/>
      <c r="I116" s="5"/>
      <c r="J116" s="5"/>
      <c r="K116" s="5"/>
      <c r="L116" s="5"/>
      <c r="M116" s="7"/>
      <c r="N116" s="5"/>
      <c r="O116" s="5"/>
    </row>
    <row r="117" spans="2:15" ht="18.75" customHeight="1" x14ac:dyDescent="0.25">
      <c r="B117" s="29" t="s">
        <v>207</v>
      </c>
      <c r="C117" s="31"/>
      <c r="D117" s="5"/>
      <c r="E117" s="5"/>
      <c r="F117" s="5"/>
      <c r="G117" s="7"/>
      <c r="H117" s="5"/>
      <c r="I117" s="5"/>
      <c r="J117" s="5"/>
      <c r="K117" s="5"/>
      <c r="L117" s="5"/>
      <c r="M117" s="7"/>
      <c r="N117" s="5"/>
      <c r="O117" s="5"/>
    </row>
    <row r="118" spans="2:15" ht="15.75" customHeight="1" x14ac:dyDescent="0.25">
      <c r="B118" s="5"/>
      <c r="C118" s="7"/>
      <c r="D118" s="5"/>
      <c r="E118" s="5"/>
      <c r="F118" s="5"/>
      <c r="G118" s="7"/>
      <c r="H118" s="5"/>
      <c r="I118" s="5"/>
      <c r="J118" s="5"/>
      <c r="K118" s="5"/>
      <c r="L118" s="5"/>
      <c r="M118" s="7"/>
      <c r="N118" s="5"/>
      <c r="O118" s="5"/>
    </row>
    <row r="119" spans="2:15" ht="15.75" customHeight="1" x14ac:dyDescent="0.25">
      <c r="B119" s="5"/>
      <c r="C119" s="7"/>
      <c r="D119" s="5"/>
      <c r="E119" s="5"/>
      <c r="F119" s="5"/>
      <c r="G119" s="7"/>
      <c r="H119" s="5"/>
      <c r="I119" s="5"/>
      <c r="J119" s="5"/>
      <c r="K119" s="5"/>
      <c r="L119" s="5"/>
      <c r="M119" s="7"/>
      <c r="N119" s="5"/>
      <c r="O119" s="5"/>
    </row>
    <row r="120" spans="2:15" ht="15.75" customHeight="1" x14ac:dyDescent="0.25">
      <c r="B120" s="5"/>
      <c r="C120" s="7"/>
      <c r="D120" s="5"/>
      <c r="E120" s="5"/>
      <c r="F120" s="5"/>
      <c r="G120" s="7"/>
      <c r="H120" s="5"/>
      <c r="I120" s="5"/>
      <c r="J120" s="5"/>
      <c r="K120" s="5"/>
      <c r="L120" s="5"/>
      <c r="M120" s="7"/>
      <c r="N120" s="5"/>
      <c r="O120" s="5"/>
    </row>
    <row r="121" spans="2:15" ht="15.75" customHeight="1" x14ac:dyDescent="0.25">
      <c r="B121" s="5"/>
      <c r="C121" s="7"/>
      <c r="D121" s="5"/>
      <c r="E121" s="5"/>
      <c r="F121" s="5"/>
      <c r="G121" s="7"/>
      <c r="H121" s="5"/>
      <c r="I121" s="5"/>
      <c r="J121" s="5"/>
      <c r="K121" s="5"/>
      <c r="L121" s="5"/>
      <c r="M121" s="7"/>
      <c r="N121" s="5"/>
      <c r="O121" s="5"/>
    </row>
    <row r="122" spans="2:15" ht="15.75" customHeight="1" x14ac:dyDescent="0.25">
      <c r="B122" s="5"/>
      <c r="C122" s="7"/>
      <c r="D122" s="5"/>
      <c r="E122" s="5"/>
      <c r="F122" s="5"/>
      <c r="G122" s="7"/>
      <c r="H122" s="5"/>
      <c r="I122" s="5"/>
      <c r="J122" s="5"/>
      <c r="K122" s="5"/>
      <c r="L122" s="5"/>
      <c r="M122" s="7"/>
      <c r="N122" s="5"/>
      <c r="O122" s="5"/>
    </row>
    <row r="123" spans="2:15" ht="15.75" customHeight="1" x14ac:dyDescent="0.25">
      <c r="B123" s="5"/>
      <c r="C123" s="7"/>
      <c r="D123" s="5"/>
      <c r="E123" s="5"/>
      <c r="F123" s="5"/>
      <c r="G123" s="7"/>
      <c r="H123" s="5"/>
      <c r="I123" s="5"/>
      <c r="J123" s="5"/>
      <c r="K123" s="5"/>
      <c r="L123" s="5"/>
      <c r="M123" s="7"/>
      <c r="N123" s="5"/>
      <c r="O123" s="5"/>
    </row>
    <row r="124" spans="2:15" ht="15.75" customHeight="1" x14ac:dyDescent="0.25">
      <c r="B124" s="5"/>
      <c r="C124" s="7"/>
      <c r="D124" s="5"/>
      <c r="E124" s="5"/>
      <c r="F124" s="5"/>
      <c r="G124" s="7"/>
      <c r="H124" s="5"/>
      <c r="I124" s="5"/>
      <c r="J124" s="5"/>
      <c r="K124" s="5"/>
      <c r="L124" s="5"/>
      <c r="M124" s="7"/>
      <c r="N124" s="5"/>
      <c r="O124" s="5"/>
    </row>
    <row r="125" spans="2:15" ht="15.75" customHeight="1" x14ac:dyDescent="0.25">
      <c r="B125" s="5"/>
      <c r="C125" s="7"/>
      <c r="D125" s="5"/>
      <c r="E125" s="5"/>
      <c r="F125" s="5"/>
      <c r="G125" s="7"/>
      <c r="H125" s="5"/>
      <c r="I125" s="5"/>
      <c r="J125" s="5"/>
      <c r="K125" s="5"/>
      <c r="L125" s="5"/>
      <c r="M125" s="7"/>
      <c r="N125" s="5"/>
      <c r="O125" s="5"/>
    </row>
    <row r="126" spans="2:15" ht="15.75" customHeight="1" x14ac:dyDescent="0.25">
      <c r="B126" s="5"/>
      <c r="C126" s="7"/>
      <c r="D126" s="5"/>
      <c r="E126" s="5"/>
      <c r="F126" s="5"/>
      <c r="G126" s="7"/>
      <c r="H126" s="5"/>
      <c r="I126" s="5"/>
      <c r="J126" s="5"/>
      <c r="K126" s="5"/>
      <c r="L126" s="5"/>
      <c r="M126" s="7"/>
      <c r="N126" s="5"/>
      <c r="O126" s="5"/>
    </row>
    <row r="127" spans="2:15" ht="15.75" customHeight="1" x14ac:dyDescent="0.25">
      <c r="B127" s="5"/>
      <c r="C127" s="7"/>
      <c r="D127" s="5"/>
      <c r="E127" s="5"/>
      <c r="F127" s="5"/>
      <c r="G127" s="7"/>
      <c r="H127" s="5"/>
      <c r="I127" s="5"/>
      <c r="J127" s="5"/>
      <c r="K127" s="5"/>
      <c r="L127" s="5"/>
      <c r="M127" s="7"/>
      <c r="N127" s="5"/>
      <c r="O127" s="5"/>
    </row>
    <row r="128" spans="2:15" ht="15.75" customHeight="1" x14ac:dyDescent="0.25">
      <c r="B128" s="5"/>
      <c r="C128" s="7"/>
      <c r="D128" s="5"/>
      <c r="E128" s="5"/>
      <c r="F128" s="5"/>
      <c r="G128" s="7"/>
      <c r="H128" s="5"/>
      <c r="I128" s="5"/>
      <c r="J128" s="5"/>
      <c r="K128" s="5"/>
      <c r="L128" s="5"/>
      <c r="M128" s="7"/>
      <c r="N128" s="5"/>
      <c r="O128" s="5"/>
    </row>
    <row r="129" spans="2:15" ht="15.75" customHeight="1" x14ac:dyDescent="0.25">
      <c r="B129" s="5"/>
      <c r="C129" s="7"/>
      <c r="D129" s="5"/>
      <c r="E129" s="5"/>
      <c r="F129" s="5"/>
      <c r="G129" s="7"/>
      <c r="H129" s="5"/>
      <c r="I129" s="5"/>
      <c r="J129" s="5"/>
      <c r="K129" s="5"/>
      <c r="L129" s="5"/>
      <c r="M129" s="7"/>
      <c r="N129" s="5"/>
      <c r="O129" s="5"/>
    </row>
    <row r="130" spans="2:15" ht="15.75" customHeight="1" x14ac:dyDescent="0.25">
      <c r="B130" s="5"/>
      <c r="C130" s="7"/>
      <c r="D130" s="5"/>
      <c r="E130" s="5"/>
      <c r="F130" s="5"/>
      <c r="G130" s="7"/>
      <c r="H130" s="5"/>
      <c r="I130" s="5"/>
      <c r="J130" s="5"/>
      <c r="K130" s="5"/>
      <c r="L130" s="5"/>
      <c r="M130" s="7"/>
      <c r="N130" s="5"/>
      <c r="O130" s="5"/>
    </row>
    <row r="131" spans="2:15" ht="15.75" customHeight="1" x14ac:dyDescent="0.25">
      <c r="B131" s="5"/>
      <c r="C131" s="7"/>
      <c r="D131" s="5"/>
      <c r="E131" s="5"/>
      <c r="F131" s="5"/>
      <c r="G131" s="7"/>
      <c r="H131" s="5"/>
      <c r="I131" s="5"/>
      <c r="J131" s="5"/>
      <c r="K131" s="5"/>
      <c r="L131" s="5"/>
      <c r="M131" s="7"/>
      <c r="N131" s="5"/>
      <c r="O131" s="5"/>
    </row>
    <row r="132" spans="2:15" ht="15.75" customHeight="1" x14ac:dyDescent="0.25">
      <c r="B132" s="5"/>
      <c r="C132" s="7"/>
      <c r="D132" s="5"/>
      <c r="E132" s="5"/>
      <c r="F132" s="5"/>
      <c r="G132" s="7"/>
      <c r="H132" s="5"/>
      <c r="I132" s="5"/>
      <c r="J132" s="5"/>
      <c r="K132" s="5"/>
      <c r="L132" s="5"/>
      <c r="M132" s="7"/>
      <c r="N132" s="5"/>
      <c r="O132" s="5"/>
    </row>
    <row r="133" spans="2:15" ht="15.75" customHeight="1" x14ac:dyDescent="0.25">
      <c r="B133" s="5"/>
      <c r="C133" s="7"/>
      <c r="D133" s="5"/>
      <c r="E133" s="5"/>
      <c r="F133" s="5"/>
      <c r="G133" s="7"/>
      <c r="H133" s="5"/>
      <c r="I133" s="5"/>
      <c r="J133" s="5"/>
      <c r="K133" s="5"/>
      <c r="L133" s="5"/>
      <c r="M133" s="7"/>
      <c r="N133" s="5"/>
      <c r="O133" s="5"/>
    </row>
    <row r="134" spans="2:15" ht="15.75" customHeight="1" x14ac:dyDescent="0.25">
      <c r="B134" s="5"/>
      <c r="C134" s="7"/>
      <c r="D134" s="5"/>
      <c r="E134" s="5"/>
      <c r="F134" s="5"/>
      <c r="G134" s="7"/>
      <c r="H134" s="5"/>
      <c r="I134" s="5"/>
      <c r="J134" s="5"/>
      <c r="K134" s="5"/>
      <c r="L134" s="5"/>
      <c r="M134" s="7"/>
      <c r="N134" s="5"/>
      <c r="O134" s="5"/>
    </row>
    <row r="135" spans="2:15" ht="15.75" customHeight="1" x14ac:dyDescent="0.25">
      <c r="B135" s="5"/>
      <c r="C135" s="7"/>
      <c r="D135" s="5"/>
      <c r="E135" s="5"/>
      <c r="F135" s="5"/>
      <c r="G135" s="7"/>
      <c r="H135" s="5"/>
      <c r="I135" s="5"/>
      <c r="J135" s="5"/>
      <c r="K135" s="5"/>
      <c r="L135" s="5"/>
      <c r="M135" s="7"/>
      <c r="N135" s="5"/>
      <c r="O135" s="5"/>
    </row>
    <row r="136" spans="2:15" ht="15.75" customHeight="1" x14ac:dyDescent="0.25">
      <c r="B136" s="5"/>
      <c r="C136" s="7"/>
      <c r="D136" s="5"/>
      <c r="E136" s="5"/>
      <c r="F136" s="5"/>
      <c r="G136" s="7"/>
      <c r="H136" s="5"/>
      <c r="I136" s="5"/>
      <c r="J136" s="5"/>
      <c r="K136" s="5"/>
      <c r="L136" s="5"/>
      <c r="M136" s="7"/>
      <c r="N136" s="5"/>
      <c r="O136" s="5"/>
    </row>
    <row r="137" spans="2:15" ht="15.75" customHeight="1" x14ac:dyDescent="0.25">
      <c r="B137" s="5"/>
      <c r="C137" s="7"/>
      <c r="D137" s="5"/>
      <c r="E137" s="5"/>
      <c r="F137" s="5"/>
      <c r="G137" s="7"/>
      <c r="H137" s="5"/>
      <c r="I137" s="5"/>
      <c r="J137" s="5"/>
      <c r="K137" s="5"/>
      <c r="L137" s="5"/>
      <c r="M137" s="7"/>
      <c r="N137" s="5"/>
      <c r="O137" s="5"/>
    </row>
    <row r="138" spans="2:15" ht="15.75" customHeight="1" x14ac:dyDescent="0.25">
      <c r="B138" s="5"/>
      <c r="C138" s="7"/>
      <c r="D138" s="5"/>
      <c r="E138" s="5"/>
      <c r="F138" s="5"/>
      <c r="G138" s="7"/>
      <c r="H138" s="5"/>
      <c r="I138" s="5"/>
      <c r="J138" s="5"/>
      <c r="K138" s="5"/>
      <c r="L138" s="5"/>
      <c r="M138" s="7"/>
      <c r="N138" s="5"/>
      <c r="O138" s="5"/>
    </row>
    <row r="139" spans="2:15" ht="15.75" customHeight="1" x14ac:dyDescent="0.25">
      <c r="B139" s="5"/>
      <c r="C139" s="7"/>
      <c r="D139" s="5"/>
      <c r="E139" s="5"/>
      <c r="F139" s="5"/>
      <c r="G139" s="7"/>
      <c r="H139" s="5"/>
      <c r="I139" s="5"/>
      <c r="J139" s="5"/>
      <c r="K139" s="5"/>
      <c r="L139" s="5"/>
      <c r="M139" s="7"/>
      <c r="N139" s="5"/>
      <c r="O139" s="5"/>
    </row>
    <row r="140" spans="2:15" ht="15.75" customHeight="1" x14ac:dyDescent="0.25">
      <c r="B140" s="5"/>
      <c r="C140" s="7"/>
      <c r="D140" s="5"/>
      <c r="E140" s="5"/>
      <c r="F140" s="5"/>
      <c r="G140" s="7"/>
      <c r="H140" s="5"/>
      <c r="I140" s="5"/>
      <c r="J140" s="5"/>
      <c r="K140" s="5"/>
      <c r="L140" s="5"/>
      <c r="M140" s="7"/>
      <c r="N140" s="5"/>
      <c r="O140" s="5"/>
    </row>
    <row r="141" spans="2:15" ht="15.75" customHeight="1" x14ac:dyDescent="0.25">
      <c r="B141" s="5"/>
      <c r="C141" s="7"/>
      <c r="D141" s="5"/>
      <c r="E141" s="5"/>
      <c r="F141" s="5"/>
      <c r="G141" s="7"/>
      <c r="H141" s="5"/>
      <c r="I141" s="5"/>
      <c r="J141" s="5"/>
      <c r="K141" s="5"/>
      <c r="L141" s="5"/>
      <c r="M141" s="7"/>
      <c r="N141" s="5"/>
      <c r="O141" s="5"/>
    </row>
    <row r="142" spans="2:15" ht="15.75" customHeight="1" x14ac:dyDescent="0.25">
      <c r="B142" s="5"/>
      <c r="C142" s="7"/>
      <c r="D142" s="5"/>
      <c r="E142" s="5"/>
      <c r="F142" s="5"/>
      <c r="G142" s="7"/>
      <c r="H142" s="5"/>
      <c r="I142" s="5"/>
      <c r="J142" s="5"/>
      <c r="K142" s="5"/>
      <c r="L142" s="5"/>
      <c r="M142" s="7"/>
      <c r="N142" s="5"/>
      <c r="O142" s="5"/>
    </row>
    <row r="143" spans="2:15" ht="15.75" customHeight="1" x14ac:dyDescent="0.25">
      <c r="B143" s="5"/>
      <c r="C143" s="7"/>
      <c r="D143" s="5"/>
      <c r="E143" s="5"/>
      <c r="F143" s="5"/>
      <c r="G143" s="7"/>
      <c r="H143" s="5"/>
      <c r="I143" s="5"/>
      <c r="J143" s="5"/>
      <c r="K143" s="5"/>
      <c r="L143" s="5"/>
      <c r="M143" s="7"/>
      <c r="N143" s="5"/>
      <c r="O143" s="5"/>
    </row>
    <row r="144" spans="2:15" ht="15.75" customHeight="1" x14ac:dyDescent="0.25">
      <c r="B144" s="5"/>
      <c r="C144" s="7"/>
      <c r="D144" s="5"/>
      <c r="E144" s="5"/>
      <c r="F144" s="5"/>
      <c r="G144" s="7"/>
      <c r="H144" s="5"/>
      <c r="I144" s="5"/>
      <c r="J144" s="5"/>
      <c r="K144" s="5"/>
      <c r="L144" s="5"/>
      <c r="M144" s="7"/>
      <c r="N144" s="5"/>
      <c r="O144" s="5"/>
    </row>
    <row r="145" spans="2:15" ht="15.75" customHeight="1" x14ac:dyDescent="0.25">
      <c r="B145" s="5"/>
      <c r="C145" s="7"/>
      <c r="D145" s="5"/>
      <c r="E145" s="5"/>
      <c r="F145" s="5"/>
      <c r="G145" s="7"/>
      <c r="H145" s="5"/>
      <c r="I145" s="5"/>
      <c r="J145" s="5"/>
      <c r="K145" s="5"/>
      <c r="L145" s="5"/>
      <c r="M145" s="7"/>
      <c r="N145" s="5"/>
      <c r="O145" s="5"/>
    </row>
    <row r="146" spans="2:15" ht="15.75" customHeight="1" x14ac:dyDescent="0.25">
      <c r="B146" s="5"/>
      <c r="C146" s="7"/>
      <c r="D146" s="5"/>
      <c r="E146" s="5"/>
      <c r="F146" s="5"/>
      <c r="G146" s="7"/>
      <c r="H146" s="5"/>
      <c r="I146" s="5"/>
      <c r="J146" s="5"/>
      <c r="K146" s="5"/>
      <c r="L146" s="5"/>
      <c r="M146" s="7"/>
      <c r="N146" s="5"/>
      <c r="O146" s="5"/>
    </row>
    <row r="147" spans="2:15" ht="15.75" customHeight="1" x14ac:dyDescent="0.25">
      <c r="B147" s="5"/>
      <c r="C147" s="7"/>
      <c r="D147" s="5"/>
      <c r="E147" s="5"/>
      <c r="F147" s="5"/>
      <c r="G147" s="7"/>
      <c r="H147" s="5"/>
      <c r="I147" s="5"/>
      <c r="J147" s="5"/>
      <c r="K147" s="5"/>
      <c r="L147" s="5"/>
      <c r="M147" s="7"/>
      <c r="N147" s="5"/>
      <c r="O147" s="5"/>
    </row>
    <row r="148" spans="2:15" ht="15.75" customHeight="1" x14ac:dyDescent="0.25">
      <c r="B148" s="5"/>
      <c r="C148" s="7"/>
      <c r="D148" s="5"/>
      <c r="E148" s="5"/>
      <c r="F148" s="5"/>
      <c r="G148" s="7"/>
      <c r="H148" s="5"/>
      <c r="I148" s="5"/>
      <c r="J148" s="5"/>
      <c r="K148" s="5"/>
      <c r="L148" s="5"/>
      <c r="M148" s="7"/>
      <c r="N148" s="5"/>
      <c r="O148" s="5"/>
    </row>
    <row r="149" spans="2:15" ht="15.75" customHeight="1" x14ac:dyDescent="0.25">
      <c r="B149" s="5"/>
      <c r="C149" s="7"/>
      <c r="D149" s="5"/>
      <c r="E149" s="5"/>
      <c r="F149" s="5"/>
      <c r="G149" s="7"/>
      <c r="H149" s="5"/>
      <c r="I149" s="5"/>
      <c r="J149" s="5"/>
      <c r="K149" s="5"/>
      <c r="L149" s="5"/>
      <c r="M149" s="7"/>
      <c r="N149" s="5"/>
      <c r="O149" s="5"/>
    </row>
    <row r="150" spans="2:15" ht="15.75" customHeight="1" x14ac:dyDescent="0.25">
      <c r="B150" s="5"/>
      <c r="C150" s="7"/>
      <c r="D150" s="5"/>
      <c r="E150" s="5"/>
      <c r="F150" s="5"/>
      <c r="G150" s="7"/>
      <c r="H150" s="5"/>
      <c r="I150" s="5"/>
      <c r="J150" s="5"/>
      <c r="K150" s="5"/>
      <c r="L150" s="5"/>
      <c r="M150" s="7"/>
      <c r="N150" s="5"/>
      <c r="O150" s="5"/>
    </row>
    <row r="151" spans="2:15" ht="15.75" customHeight="1" x14ac:dyDescent="0.25">
      <c r="B151" s="5"/>
      <c r="C151" s="7"/>
      <c r="D151" s="5"/>
      <c r="E151" s="5"/>
      <c r="F151" s="5"/>
      <c r="G151" s="7"/>
      <c r="H151" s="5"/>
      <c r="I151" s="5"/>
      <c r="J151" s="5"/>
      <c r="K151" s="5"/>
      <c r="L151" s="5"/>
      <c r="M151" s="7"/>
      <c r="N151" s="5"/>
      <c r="O151" s="5"/>
    </row>
    <row r="152" spans="2:15" ht="15.75" customHeight="1" x14ac:dyDescent="0.25">
      <c r="B152" s="5"/>
      <c r="C152" s="7"/>
      <c r="D152" s="5"/>
      <c r="E152" s="5"/>
      <c r="F152" s="5"/>
      <c r="G152" s="7"/>
      <c r="H152" s="5"/>
      <c r="I152" s="5"/>
      <c r="J152" s="5"/>
      <c r="K152" s="5"/>
      <c r="L152" s="5"/>
      <c r="M152" s="7"/>
      <c r="N152" s="5"/>
      <c r="O152" s="5"/>
    </row>
    <row r="153" spans="2:15" ht="15.75" customHeight="1" x14ac:dyDescent="0.25">
      <c r="B153" s="5"/>
      <c r="C153" s="7"/>
      <c r="D153" s="5"/>
      <c r="E153" s="5"/>
      <c r="F153" s="5"/>
      <c r="G153" s="7"/>
      <c r="H153" s="5"/>
      <c r="I153" s="5"/>
      <c r="J153" s="5"/>
      <c r="K153" s="5"/>
      <c r="L153" s="5"/>
      <c r="M153" s="7"/>
      <c r="N153" s="5"/>
      <c r="O153" s="5"/>
    </row>
    <row r="154" spans="2:15" ht="15.75" customHeight="1" x14ac:dyDescent="0.25">
      <c r="B154" s="5"/>
      <c r="C154" s="7"/>
      <c r="D154" s="5"/>
      <c r="E154" s="5"/>
      <c r="F154" s="5"/>
      <c r="G154" s="7"/>
      <c r="H154" s="5"/>
      <c r="I154" s="5"/>
      <c r="J154" s="5"/>
      <c r="K154" s="5"/>
      <c r="L154" s="5"/>
      <c r="M154" s="7"/>
      <c r="N154" s="5"/>
      <c r="O154" s="5"/>
    </row>
    <row r="155" spans="2:15" ht="15.75" customHeight="1" x14ac:dyDescent="0.25">
      <c r="B155" s="5"/>
      <c r="C155" s="7"/>
      <c r="D155" s="5"/>
      <c r="E155" s="5"/>
      <c r="F155" s="5"/>
      <c r="G155" s="7"/>
      <c r="H155" s="5"/>
      <c r="I155" s="5"/>
      <c r="J155" s="5"/>
      <c r="K155" s="5"/>
      <c r="L155" s="5"/>
      <c r="M155" s="7"/>
      <c r="N155" s="5"/>
      <c r="O155" s="5"/>
    </row>
    <row r="156" spans="2:15" ht="15.75" customHeight="1" x14ac:dyDescent="0.25">
      <c r="B156" s="5"/>
      <c r="C156" s="7"/>
      <c r="D156" s="5"/>
      <c r="E156" s="5"/>
      <c r="F156" s="5"/>
      <c r="G156" s="7"/>
      <c r="H156" s="5"/>
      <c r="I156" s="5"/>
      <c r="J156" s="5"/>
      <c r="K156" s="5"/>
      <c r="L156" s="5"/>
      <c r="M156" s="7"/>
      <c r="N156" s="5"/>
      <c r="O156" s="5"/>
    </row>
    <row r="157" spans="2:15" ht="15.75" customHeight="1" x14ac:dyDescent="0.25">
      <c r="B157" s="5"/>
      <c r="C157" s="7"/>
      <c r="D157" s="5"/>
      <c r="E157" s="5"/>
      <c r="F157" s="5"/>
      <c r="G157" s="7"/>
      <c r="H157" s="5"/>
      <c r="I157" s="5"/>
      <c r="J157" s="5"/>
      <c r="K157" s="5"/>
      <c r="L157" s="5"/>
      <c r="M157" s="7"/>
      <c r="N157" s="5"/>
      <c r="O157" s="5"/>
    </row>
    <row r="158" spans="2:15" ht="15.75" customHeight="1" x14ac:dyDescent="0.25">
      <c r="B158" s="5"/>
      <c r="C158" s="7"/>
      <c r="D158" s="5"/>
      <c r="E158" s="5"/>
      <c r="F158" s="5"/>
      <c r="G158" s="7"/>
      <c r="H158" s="5"/>
      <c r="I158" s="5"/>
      <c r="J158" s="5"/>
      <c r="K158" s="5"/>
      <c r="L158" s="5"/>
      <c r="M158" s="7"/>
      <c r="N158" s="5"/>
      <c r="O158" s="5"/>
    </row>
    <row r="159" spans="2:15" ht="15.75" customHeight="1" x14ac:dyDescent="0.25">
      <c r="B159" s="5"/>
      <c r="C159" s="7"/>
      <c r="D159" s="5"/>
      <c r="E159" s="5"/>
      <c r="F159" s="5"/>
      <c r="G159" s="7"/>
      <c r="H159" s="5"/>
      <c r="I159" s="5"/>
      <c r="J159" s="5"/>
      <c r="K159" s="5"/>
      <c r="L159" s="5"/>
      <c r="M159" s="7"/>
      <c r="N159" s="5"/>
      <c r="O159" s="5"/>
    </row>
    <row r="160" spans="2:15" ht="15.75" customHeight="1" x14ac:dyDescent="0.25">
      <c r="B160" s="5"/>
      <c r="C160" s="7"/>
      <c r="D160" s="5"/>
      <c r="E160" s="5"/>
      <c r="F160" s="5"/>
      <c r="G160" s="7"/>
      <c r="H160" s="5"/>
      <c r="I160" s="5"/>
      <c r="J160" s="5"/>
      <c r="K160" s="5"/>
      <c r="L160" s="5"/>
      <c r="M160" s="7"/>
      <c r="N160" s="5"/>
      <c r="O160" s="5"/>
    </row>
  </sheetData>
  <conditionalFormatting sqref="N1:N1048576 M74">
    <cfRule type="cellIs" dxfId="4" priority="1" operator="lessThan">
      <formula>0</formula>
    </cfRule>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1"/>
  <sheetViews>
    <sheetView tabSelected="1" zoomScale="130" zoomScaleNormal="130" workbookViewId="0">
      <pane ySplit="1" topLeftCell="A2" activePane="bottomLeft" state="frozen"/>
      <selection pane="bottomLeft" activeCell="L8" sqref="L8"/>
    </sheetView>
  </sheetViews>
  <sheetFormatPr defaultRowHeight="15" x14ac:dyDescent="0.25"/>
  <cols>
    <col min="1" max="1" width="17" customWidth="1"/>
    <col min="2" max="2" width="12.42578125" style="33" customWidth="1"/>
    <col min="3" max="3" width="9.140625" style="20" customWidth="1"/>
    <col min="4" max="4" width="7.28515625" customWidth="1"/>
    <col min="5" max="5" width="13.42578125" customWidth="1"/>
    <col min="6" max="6" width="10" customWidth="1"/>
    <col min="7" max="7" width="9.140625" style="20" customWidth="1"/>
    <col min="8" max="8" width="15.5703125" style="20" customWidth="1"/>
    <col min="9" max="9" width="8.7109375" style="32" customWidth="1"/>
    <col min="10" max="10" width="10.42578125" style="20" customWidth="1"/>
    <col min="11" max="11" width="11.5703125" style="20" customWidth="1"/>
    <col min="12" max="12" width="12.42578125" style="20" customWidth="1"/>
    <col min="13" max="14" width="16.42578125" customWidth="1"/>
    <col min="15" max="15" width="14.140625" customWidth="1"/>
    <col min="16" max="16" width="12.42578125" style="20" customWidth="1"/>
    <col min="17" max="17" width="12.140625" style="35" customWidth="1"/>
    <col min="18" max="18" width="51.85546875" customWidth="1"/>
    <col min="19" max="19" width="9.140625" style="20" customWidth="1"/>
    <col min="20" max="20" width="12.5703125" customWidth="1"/>
    <col min="21" max="21" width="12.7109375" customWidth="1"/>
    <col min="23" max="23" width="10.42578125" bestFit="1" customWidth="1"/>
  </cols>
  <sheetData>
    <row r="1" spans="1:20" ht="47.25" customHeight="1" x14ac:dyDescent="0.25">
      <c r="A1" s="28" t="s">
        <v>208</v>
      </c>
      <c r="B1" s="34" t="s">
        <v>209</v>
      </c>
      <c r="C1" s="30" t="s">
        <v>2</v>
      </c>
      <c r="D1" s="4" t="s">
        <v>3</v>
      </c>
      <c r="E1" s="3" t="s">
        <v>4</v>
      </c>
      <c r="F1" s="4" t="s">
        <v>5</v>
      </c>
      <c r="G1" s="21" t="s">
        <v>6</v>
      </c>
      <c r="H1" s="22" t="s">
        <v>210</v>
      </c>
      <c r="I1" s="28" t="s">
        <v>211</v>
      </c>
      <c r="J1" s="22" t="s">
        <v>8</v>
      </c>
      <c r="K1" s="22" t="s">
        <v>9</v>
      </c>
      <c r="L1" s="22" t="s">
        <v>10</v>
      </c>
      <c r="M1" s="2" t="s">
        <v>11</v>
      </c>
      <c r="N1" s="2" t="s">
        <v>212</v>
      </c>
      <c r="O1" s="22" t="s">
        <v>213</v>
      </c>
      <c r="P1" s="22" t="s">
        <v>214</v>
      </c>
      <c r="Q1" s="62" t="s">
        <v>14</v>
      </c>
      <c r="R1" s="4" t="s">
        <v>215</v>
      </c>
      <c r="S1" s="37" t="s">
        <v>216</v>
      </c>
      <c r="T1" s="38" t="s">
        <v>217</v>
      </c>
    </row>
    <row r="2" spans="1:20" ht="15.75" customHeight="1" x14ac:dyDescent="0.25">
      <c r="B2" s="59"/>
      <c r="E2" s="59"/>
      <c r="N2" s="59"/>
    </row>
    <row r="3" spans="1:20" ht="15.75" customHeight="1" x14ac:dyDescent="0.25">
      <c r="A3" t="s">
        <v>56</v>
      </c>
      <c r="B3" s="39"/>
      <c r="D3" t="s">
        <v>218</v>
      </c>
      <c r="E3" s="39">
        <v>45673</v>
      </c>
      <c r="F3" s="61">
        <v>100</v>
      </c>
      <c r="G3" s="20">
        <v>42.45</v>
      </c>
      <c r="H3" s="20">
        <v>4245</v>
      </c>
      <c r="N3" s="59"/>
      <c r="O3" s="20"/>
      <c r="S3" s="20">
        <v>40.450000000000003</v>
      </c>
      <c r="T3" s="96">
        <v>-200</v>
      </c>
    </row>
    <row r="4" spans="1:20" ht="15.75" customHeight="1" x14ac:dyDescent="0.25">
      <c r="A4" t="s">
        <v>219</v>
      </c>
      <c r="B4" s="39">
        <v>45737</v>
      </c>
      <c r="C4" s="20">
        <v>40</v>
      </c>
      <c r="D4" t="s">
        <v>218</v>
      </c>
      <c r="E4" s="39">
        <v>45700</v>
      </c>
      <c r="F4" s="61">
        <v>-100</v>
      </c>
      <c r="G4" s="20">
        <v>9.6999999999999993</v>
      </c>
      <c r="H4" s="20">
        <v>3030</v>
      </c>
      <c r="I4" t="s">
        <v>220</v>
      </c>
      <c r="M4" t="s">
        <v>221</v>
      </c>
      <c r="N4" s="59"/>
      <c r="O4" s="20"/>
      <c r="S4" s="20">
        <v>40.450000000000003</v>
      </c>
      <c r="T4" s="96">
        <v>-3075</v>
      </c>
    </row>
    <row r="5" spans="1:20" ht="15.75" customHeight="1" x14ac:dyDescent="0.25">
      <c r="A5" t="s">
        <v>222</v>
      </c>
      <c r="B5" s="59" t="s">
        <v>223</v>
      </c>
      <c r="C5" s="60">
        <v>44</v>
      </c>
      <c r="D5" t="s">
        <v>218</v>
      </c>
      <c r="E5" s="59" t="s">
        <v>224</v>
      </c>
      <c r="F5">
        <v>-200</v>
      </c>
      <c r="G5" s="60">
        <v>2</v>
      </c>
      <c r="J5" s="60">
        <v>400</v>
      </c>
      <c r="N5" s="59"/>
      <c r="S5" s="60">
        <v>2</v>
      </c>
      <c r="T5" s="60">
        <v>0</v>
      </c>
    </row>
    <row r="6" spans="1:20" ht="15.75" customHeight="1" x14ac:dyDescent="0.25">
      <c r="A6" t="s">
        <v>219</v>
      </c>
      <c r="B6" s="85">
        <v>45982</v>
      </c>
      <c r="C6" s="60">
        <v>56</v>
      </c>
      <c r="D6" t="s">
        <v>225</v>
      </c>
      <c r="E6" s="59" t="s">
        <v>226</v>
      </c>
      <c r="F6">
        <v>-100</v>
      </c>
      <c r="G6" s="60">
        <v>6.14</v>
      </c>
      <c r="K6" s="60">
        <v>614</v>
      </c>
      <c r="L6" s="60">
        <v>5600</v>
      </c>
      <c r="M6" t="s">
        <v>227</v>
      </c>
      <c r="N6" s="59"/>
      <c r="S6" s="60">
        <v>4.5599999999999996</v>
      </c>
      <c r="T6" s="97">
        <v>158</v>
      </c>
    </row>
    <row r="7" spans="1:20" ht="15.75" customHeight="1" x14ac:dyDescent="0.25">
      <c r="A7" t="s">
        <v>219</v>
      </c>
      <c r="B7" s="85">
        <v>45982</v>
      </c>
      <c r="C7" s="60">
        <v>55</v>
      </c>
      <c r="D7" t="s">
        <v>225</v>
      </c>
      <c r="E7" s="59" t="s">
        <v>226</v>
      </c>
      <c r="F7">
        <v>-100</v>
      </c>
      <c r="G7" s="60">
        <v>5.72</v>
      </c>
      <c r="K7" s="60">
        <v>572</v>
      </c>
      <c r="L7" s="60">
        <v>5500</v>
      </c>
      <c r="M7" t="s">
        <v>228</v>
      </c>
      <c r="N7" s="59"/>
      <c r="S7" s="60">
        <v>4.5599999999999996</v>
      </c>
      <c r="T7" s="97">
        <v>116</v>
      </c>
    </row>
    <row r="8" spans="1:20" ht="15.75" customHeight="1" x14ac:dyDescent="0.25">
      <c r="A8" t="s">
        <v>219</v>
      </c>
      <c r="B8" s="59" t="s">
        <v>229</v>
      </c>
      <c r="C8" s="60">
        <v>70</v>
      </c>
      <c r="D8" t="s">
        <v>230</v>
      </c>
      <c r="E8" s="59" t="s">
        <v>231</v>
      </c>
      <c r="F8">
        <v>-100</v>
      </c>
      <c r="G8" s="60">
        <v>8.59</v>
      </c>
      <c r="H8" s="60">
        <v>6141</v>
      </c>
      <c r="I8" t="s">
        <v>232</v>
      </c>
      <c r="K8" s="60"/>
      <c r="L8" s="60"/>
      <c r="N8" s="59"/>
      <c r="S8" s="60">
        <v>52.62</v>
      </c>
      <c r="T8" s="96">
        <v>-4403</v>
      </c>
    </row>
    <row r="9" spans="1:20" ht="15.75" customHeight="1" x14ac:dyDescent="0.25">
      <c r="A9" t="s">
        <v>56</v>
      </c>
      <c r="B9" s="59"/>
      <c r="D9" t="s">
        <v>230</v>
      </c>
      <c r="E9" s="59" t="s">
        <v>231</v>
      </c>
      <c r="F9">
        <v>100</v>
      </c>
      <c r="G9" s="60">
        <v>61.6</v>
      </c>
      <c r="H9" s="60">
        <v>6160</v>
      </c>
      <c r="N9" s="59"/>
      <c r="S9" s="60">
        <v>61.89</v>
      </c>
      <c r="T9" s="97">
        <v>28.999999999999911</v>
      </c>
    </row>
    <row r="10" spans="1:20" ht="15.75" customHeight="1" x14ac:dyDescent="0.25">
      <c r="A10" t="s">
        <v>56</v>
      </c>
      <c r="B10" s="59"/>
      <c r="D10" t="s">
        <v>233</v>
      </c>
      <c r="E10" s="59" t="s">
        <v>234</v>
      </c>
      <c r="F10">
        <v>200</v>
      </c>
      <c r="G10" s="60">
        <v>26.26</v>
      </c>
      <c r="H10" s="60">
        <v>5252</v>
      </c>
      <c r="N10" s="59"/>
      <c r="S10" s="60">
        <v>27.59</v>
      </c>
      <c r="T10" s="97">
        <v>265.99999999999972</v>
      </c>
    </row>
    <row r="11" spans="1:20" ht="15.75" customHeight="1" x14ac:dyDescent="0.25">
      <c r="A11" t="s">
        <v>219</v>
      </c>
      <c r="B11" s="59" t="s">
        <v>235</v>
      </c>
      <c r="C11" s="60">
        <v>35</v>
      </c>
      <c r="D11" t="s">
        <v>233</v>
      </c>
      <c r="E11" s="59" t="s">
        <v>234</v>
      </c>
      <c r="F11">
        <v>-200</v>
      </c>
      <c r="G11" s="60">
        <v>9.5</v>
      </c>
      <c r="H11" s="60">
        <v>5100</v>
      </c>
      <c r="I11" t="s">
        <v>232</v>
      </c>
      <c r="K11" s="60"/>
      <c r="L11" s="60"/>
      <c r="N11" s="59"/>
      <c r="S11" s="60">
        <v>52.62</v>
      </c>
      <c r="T11" s="96">
        <v>-8624</v>
      </c>
    </row>
    <row r="12" spans="1:20" ht="15.75" customHeight="1" x14ac:dyDescent="0.25">
      <c r="A12" t="s">
        <v>56</v>
      </c>
      <c r="B12" s="59"/>
      <c r="D12" t="s">
        <v>236</v>
      </c>
      <c r="E12" s="59" t="s">
        <v>237</v>
      </c>
      <c r="F12">
        <v>100</v>
      </c>
      <c r="G12" s="60">
        <v>68.7</v>
      </c>
      <c r="H12" s="60">
        <v>6870</v>
      </c>
      <c r="N12" s="59"/>
      <c r="S12" s="60">
        <v>68.7</v>
      </c>
      <c r="T12" s="60">
        <v>0</v>
      </c>
    </row>
    <row r="13" spans="1:20" ht="15.75" customHeight="1" x14ac:dyDescent="0.25">
      <c r="A13" t="s">
        <v>219</v>
      </c>
      <c r="B13" s="59" t="s">
        <v>229</v>
      </c>
      <c r="C13" s="60">
        <v>80</v>
      </c>
      <c r="D13" t="s">
        <v>236</v>
      </c>
      <c r="E13" s="59" t="s">
        <v>237</v>
      </c>
      <c r="F13">
        <v>-100</v>
      </c>
      <c r="G13" s="60">
        <v>11.6</v>
      </c>
      <c r="K13" s="60">
        <v>1160</v>
      </c>
      <c r="L13" s="60">
        <v>8000</v>
      </c>
      <c r="N13" s="59"/>
      <c r="S13" s="60">
        <v>11.6</v>
      </c>
      <c r="T13" s="60">
        <v>0</v>
      </c>
    </row>
    <row r="14" spans="1:20" ht="15.75" customHeight="1" x14ac:dyDescent="0.25">
      <c r="A14" t="s">
        <v>56</v>
      </c>
      <c r="B14" s="59"/>
      <c r="D14" t="s">
        <v>238</v>
      </c>
      <c r="E14" s="59" t="s">
        <v>226</v>
      </c>
      <c r="F14">
        <v>100</v>
      </c>
      <c r="G14" s="60">
        <v>60.7</v>
      </c>
      <c r="H14" s="60">
        <v>6070</v>
      </c>
      <c r="N14" s="59"/>
      <c r="S14" s="60">
        <v>68.78</v>
      </c>
      <c r="T14" s="97">
        <v>807.99999999999977</v>
      </c>
    </row>
    <row r="15" spans="1:20" x14ac:dyDescent="0.25">
      <c r="A15" t="s">
        <v>219</v>
      </c>
      <c r="B15" s="59" t="s">
        <v>229</v>
      </c>
      <c r="C15" s="60">
        <v>73</v>
      </c>
      <c r="D15" t="s">
        <v>238</v>
      </c>
      <c r="E15" s="59" t="s">
        <v>239</v>
      </c>
      <c r="F15">
        <v>100</v>
      </c>
      <c r="G15" s="60">
        <v>8.5</v>
      </c>
      <c r="K15" s="60">
        <v>850</v>
      </c>
      <c r="L15" s="60">
        <v>7300</v>
      </c>
      <c r="N15" s="59"/>
      <c r="S15" s="60">
        <v>8.5</v>
      </c>
      <c r="T15" s="60">
        <v>0</v>
      </c>
    </row>
    <row r="16" spans="1:20" ht="15.75" customHeight="1" x14ac:dyDescent="0.25">
      <c r="A16" t="s">
        <v>222</v>
      </c>
      <c r="B16" s="59" t="s">
        <v>229</v>
      </c>
      <c r="C16" s="60">
        <v>70</v>
      </c>
      <c r="D16" t="s">
        <v>238</v>
      </c>
      <c r="E16" s="59" t="s">
        <v>240</v>
      </c>
      <c r="F16">
        <v>-100</v>
      </c>
      <c r="G16" s="60">
        <v>2</v>
      </c>
      <c r="J16" s="60">
        <v>200</v>
      </c>
      <c r="N16" s="59"/>
      <c r="S16" s="60">
        <v>2</v>
      </c>
      <c r="T16" s="60">
        <v>0</v>
      </c>
    </row>
    <row r="17" spans="1:20" ht="15.75" customHeight="1" x14ac:dyDescent="0.25">
      <c r="A17" t="s">
        <v>241</v>
      </c>
      <c r="B17" s="39">
        <v>45674</v>
      </c>
      <c r="C17" s="20">
        <v>32</v>
      </c>
      <c r="D17" t="s">
        <v>189</v>
      </c>
      <c r="E17" s="39">
        <v>45623</v>
      </c>
      <c r="F17" s="61">
        <v>-100</v>
      </c>
      <c r="G17" s="20">
        <v>9.5</v>
      </c>
      <c r="H17" s="20">
        <v>2250</v>
      </c>
      <c r="I17" t="s">
        <v>232</v>
      </c>
      <c r="M17" t="s">
        <v>242</v>
      </c>
      <c r="N17" s="59"/>
      <c r="R17" t="s">
        <v>243</v>
      </c>
      <c r="S17" s="20">
        <v>17.2</v>
      </c>
      <c r="T17" s="96">
        <v>-769.99999999999989</v>
      </c>
    </row>
    <row r="18" spans="1:20" ht="15.75" customHeight="1" x14ac:dyDescent="0.25">
      <c r="A18" t="s">
        <v>56</v>
      </c>
      <c r="B18" s="59"/>
      <c r="D18" t="s">
        <v>189</v>
      </c>
      <c r="E18" s="39">
        <v>45628</v>
      </c>
      <c r="F18" s="61">
        <v>200</v>
      </c>
      <c r="G18" s="20">
        <v>25.35</v>
      </c>
      <c r="H18" s="20">
        <v>5070</v>
      </c>
      <c r="N18" s="59"/>
      <c r="S18" s="20">
        <v>17.2</v>
      </c>
      <c r="T18" s="96">
        <v>-1630</v>
      </c>
    </row>
    <row r="19" spans="1:20" ht="15.75" customHeight="1" x14ac:dyDescent="0.25">
      <c r="A19" t="s">
        <v>241</v>
      </c>
      <c r="B19" s="39">
        <v>45737</v>
      </c>
      <c r="C19" s="20">
        <v>29</v>
      </c>
      <c r="D19" t="s">
        <v>189</v>
      </c>
      <c r="E19" s="39">
        <v>45684</v>
      </c>
      <c r="F19" s="61">
        <v>-100</v>
      </c>
      <c r="G19" s="20">
        <v>11</v>
      </c>
      <c r="H19" s="20">
        <v>1800</v>
      </c>
      <c r="I19" t="s">
        <v>220</v>
      </c>
      <c r="M19" t="s">
        <v>244</v>
      </c>
      <c r="N19" s="59"/>
      <c r="S19" s="20">
        <v>17.2</v>
      </c>
      <c r="T19" s="96">
        <v>-619.99999999999989</v>
      </c>
    </row>
    <row r="20" spans="1:20" s="70" customFormat="1" ht="13.5" customHeight="1" x14ac:dyDescent="0.25">
      <c r="A20" t="s">
        <v>56</v>
      </c>
      <c r="B20" s="59"/>
      <c r="D20" t="s">
        <v>245</v>
      </c>
      <c r="E20" s="39">
        <v>45812</v>
      </c>
      <c r="F20" s="61">
        <v>100</v>
      </c>
      <c r="G20" s="20">
        <v>41.85</v>
      </c>
      <c r="H20" s="20">
        <v>4185</v>
      </c>
      <c r="N20" s="59"/>
      <c r="S20" s="20">
        <v>37.840000000000003</v>
      </c>
      <c r="T20" s="96">
        <v>-400.99999999999977</v>
      </c>
    </row>
    <row r="21" spans="1:20" s="70" customFormat="1" ht="13.5" customHeight="1" x14ac:dyDescent="0.25">
      <c r="A21" t="s">
        <v>219</v>
      </c>
      <c r="B21" s="39">
        <v>45856</v>
      </c>
      <c r="C21" s="20">
        <v>50</v>
      </c>
      <c r="D21" t="s">
        <v>245</v>
      </c>
      <c r="E21" s="39">
        <v>45817</v>
      </c>
      <c r="F21" s="61">
        <v>-100</v>
      </c>
      <c r="G21" s="20">
        <v>8.8000000000000007</v>
      </c>
      <c r="H21" s="20">
        <v>4120</v>
      </c>
      <c r="I21" t="s">
        <v>232</v>
      </c>
      <c r="M21" t="s">
        <v>246</v>
      </c>
      <c r="N21" s="59"/>
      <c r="S21" s="20">
        <v>37.840000000000003</v>
      </c>
      <c r="T21" s="96">
        <v>-2904</v>
      </c>
    </row>
    <row r="22" spans="1:20" s="70" customFormat="1" ht="13.5" customHeight="1" x14ac:dyDescent="0.25">
      <c r="A22" t="s">
        <v>219</v>
      </c>
      <c r="B22" s="39">
        <v>45884</v>
      </c>
      <c r="C22" s="20">
        <v>50</v>
      </c>
      <c r="D22" t="s">
        <v>245</v>
      </c>
      <c r="E22" s="39">
        <v>45855</v>
      </c>
      <c r="F22" s="61">
        <v>-100</v>
      </c>
      <c r="G22" s="20">
        <v>11.1</v>
      </c>
      <c r="H22" s="20">
        <v>3890</v>
      </c>
      <c r="I22" t="s">
        <v>232</v>
      </c>
      <c r="M22" t="s">
        <v>247</v>
      </c>
      <c r="N22" s="59"/>
      <c r="S22" s="20">
        <v>37.840000000000003</v>
      </c>
      <c r="T22" s="96">
        <v>-2674</v>
      </c>
    </row>
    <row r="23" spans="1:20" s="70" customFormat="1" ht="13.5" customHeight="1" x14ac:dyDescent="0.25">
      <c r="A23" t="s">
        <v>56</v>
      </c>
      <c r="B23" s="59"/>
      <c r="D23" t="s">
        <v>197</v>
      </c>
      <c r="E23" s="39">
        <v>45644</v>
      </c>
      <c r="F23" s="61">
        <v>100</v>
      </c>
      <c r="G23" s="20">
        <v>26.2</v>
      </c>
      <c r="H23" s="20">
        <v>2620</v>
      </c>
      <c r="N23" s="59"/>
      <c r="S23" s="20">
        <v>23.66</v>
      </c>
      <c r="T23" s="96">
        <v>-253.99999999999989</v>
      </c>
    </row>
    <row r="24" spans="1:20" s="70" customFormat="1" ht="13.5" customHeight="1" x14ac:dyDescent="0.25">
      <c r="A24" t="s">
        <v>56</v>
      </c>
      <c r="B24" s="59"/>
      <c r="D24" t="s">
        <v>51</v>
      </c>
      <c r="E24" s="39">
        <v>45455</v>
      </c>
      <c r="F24" s="61">
        <v>100</v>
      </c>
      <c r="G24" s="20">
        <v>44.22</v>
      </c>
      <c r="H24" s="20">
        <v>4422</v>
      </c>
      <c r="N24" s="59"/>
      <c r="R24" t="s">
        <v>57</v>
      </c>
      <c r="S24" s="20">
        <v>37.82</v>
      </c>
      <c r="T24" s="96">
        <v>-639.99999999999989</v>
      </c>
    </row>
    <row r="25" spans="1:20" s="70" customFormat="1" ht="13.5" customHeight="1" x14ac:dyDescent="0.25">
      <c r="A25" t="s">
        <v>241</v>
      </c>
      <c r="B25" s="39">
        <v>45885</v>
      </c>
      <c r="C25" s="20">
        <v>50</v>
      </c>
      <c r="D25" t="s">
        <v>51</v>
      </c>
      <c r="E25" s="39">
        <v>45463</v>
      </c>
      <c r="F25" s="61">
        <v>100</v>
      </c>
      <c r="G25" s="20">
        <v>6.65</v>
      </c>
      <c r="H25" s="20">
        <v>4335</v>
      </c>
      <c r="I25" t="s">
        <v>220</v>
      </c>
      <c r="N25" s="59"/>
      <c r="R25" t="s">
        <v>59</v>
      </c>
      <c r="S25" s="20">
        <v>37.82</v>
      </c>
      <c r="T25" s="97">
        <v>3117</v>
      </c>
    </row>
    <row r="26" spans="1:20" ht="15.75" customHeight="1" x14ac:dyDescent="0.25">
      <c r="A26" t="s">
        <v>219</v>
      </c>
      <c r="B26" s="59" t="s">
        <v>235</v>
      </c>
      <c r="C26" s="60">
        <v>63</v>
      </c>
      <c r="D26" t="s">
        <v>248</v>
      </c>
      <c r="E26" s="59" t="s">
        <v>249</v>
      </c>
      <c r="F26">
        <v>-200</v>
      </c>
      <c r="G26" s="60">
        <v>9</v>
      </c>
      <c r="H26" s="60">
        <v>10800</v>
      </c>
      <c r="I26" t="s">
        <v>232</v>
      </c>
      <c r="K26" s="60"/>
      <c r="L26" s="60"/>
      <c r="M26" t="s">
        <v>250</v>
      </c>
      <c r="N26" s="59"/>
      <c r="R26" t="s">
        <v>251</v>
      </c>
      <c r="S26" s="60">
        <v>8.6</v>
      </c>
      <c r="T26" s="97">
        <v>80.000000000000071</v>
      </c>
    </row>
    <row r="27" spans="1:20" ht="15.75" customHeight="1" x14ac:dyDescent="0.25">
      <c r="A27" t="s">
        <v>219</v>
      </c>
      <c r="B27" s="39" t="s">
        <v>252</v>
      </c>
      <c r="C27" s="60">
        <v>60</v>
      </c>
      <c r="D27" t="s">
        <v>253</v>
      </c>
      <c r="E27" s="39" t="s">
        <v>254</v>
      </c>
      <c r="F27" s="61">
        <v>-200</v>
      </c>
      <c r="G27" s="60">
        <v>10.8</v>
      </c>
      <c r="H27" s="60">
        <v>4920</v>
      </c>
      <c r="I27" t="s">
        <v>232</v>
      </c>
      <c r="M27" t="s">
        <v>255</v>
      </c>
      <c r="N27" s="59"/>
      <c r="S27" s="60">
        <v>11.68</v>
      </c>
      <c r="T27" s="96">
        <v>-175.9999999999998</v>
      </c>
    </row>
    <row r="28" spans="1:20" ht="15.75" customHeight="1" x14ac:dyDescent="0.25">
      <c r="A28" t="s">
        <v>56</v>
      </c>
      <c r="B28" s="59"/>
      <c r="D28" t="s">
        <v>253</v>
      </c>
      <c r="E28" s="39" t="s">
        <v>254</v>
      </c>
      <c r="F28" s="61">
        <v>200</v>
      </c>
      <c r="G28" s="60">
        <v>51.9</v>
      </c>
      <c r="H28" s="60">
        <v>5190</v>
      </c>
      <c r="N28" s="59"/>
      <c r="S28" s="60">
        <v>52.39</v>
      </c>
      <c r="T28" s="97">
        <v>98.000000000000398</v>
      </c>
    </row>
    <row r="29" spans="1:20" ht="15.75" customHeight="1" x14ac:dyDescent="0.25">
      <c r="A29" t="s">
        <v>222</v>
      </c>
      <c r="B29" s="59" t="s">
        <v>256</v>
      </c>
      <c r="C29" s="60">
        <v>58</v>
      </c>
      <c r="D29" t="s">
        <v>253</v>
      </c>
      <c r="E29" s="59" t="s">
        <v>257</v>
      </c>
      <c r="F29">
        <v>-400</v>
      </c>
      <c r="G29" s="60">
        <v>6</v>
      </c>
      <c r="J29" s="60">
        <v>2400</v>
      </c>
      <c r="N29" s="59"/>
      <c r="S29" s="60">
        <v>6</v>
      </c>
      <c r="T29" s="60">
        <v>0</v>
      </c>
    </row>
    <row r="30" spans="1:20" ht="15.75" customHeight="1" x14ac:dyDescent="0.25">
      <c r="A30" t="s">
        <v>219</v>
      </c>
      <c r="B30" s="59" t="s">
        <v>256</v>
      </c>
      <c r="C30" s="60">
        <v>42</v>
      </c>
      <c r="D30" t="s">
        <v>258</v>
      </c>
      <c r="E30" s="59" t="s">
        <v>235</v>
      </c>
      <c r="F30">
        <v>-200</v>
      </c>
      <c r="G30" s="60">
        <v>5.2</v>
      </c>
      <c r="K30" s="60">
        <v>1040</v>
      </c>
      <c r="L30" s="60">
        <v>8400</v>
      </c>
      <c r="N30" s="59"/>
      <c r="S30" s="60">
        <v>5.2</v>
      </c>
      <c r="T30" s="60">
        <v>0</v>
      </c>
    </row>
    <row r="31" spans="1:20" ht="15.75" customHeight="1" x14ac:dyDescent="0.25">
      <c r="A31" t="s">
        <v>56</v>
      </c>
      <c r="B31" s="59"/>
      <c r="D31" t="s">
        <v>98</v>
      </c>
      <c r="E31" s="39" t="s">
        <v>259</v>
      </c>
      <c r="F31" s="61">
        <v>100</v>
      </c>
      <c r="G31" s="60">
        <v>53.15</v>
      </c>
      <c r="H31" s="60">
        <v>5315</v>
      </c>
      <c r="N31" s="59"/>
      <c r="R31" t="s">
        <v>260</v>
      </c>
      <c r="S31" s="60">
        <v>36.86</v>
      </c>
      <c r="T31" s="96">
        <v>-1629</v>
      </c>
    </row>
    <row r="32" spans="1:20" ht="15.75" customHeight="1" x14ac:dyDescent="0.25">
      <c r="A32" t="s">
        <v>56</v>
      </c>
      <c r="B32" s="59"/>
      <c r="D32" t="s">
        <v>98</v>
      </c>
      <c r="E32" s="39" t="s">
        <v>261</v>
      </c>
      <c r="F32" s="61">
        <v>10</v>
      </c>
      <c r="G32" s="60">
        <v>67.14</v>
      </c>
      <c r="H32" s="60">
        <v>671.4</v>
      </c>
      <c r="N32" s="59"/>
      <c r="S32" s="60">
        <v>36.86</v>
      </c>
      <c r="T32" s="96">
        <v>-302.8</v>
      </c>
    </row>
    <row r="33" spans="1:20" ht="15.75" customHeight="1" x14ac:dyDescent="0.25">
      <c r="A33" t="s">
        <v>219</v>
      </c>
      <c r="B33" s="59" t="s">
        <v>229</v>
      </c>
      <c r="C33" s="60">
        <v>33</v>
      </c>
      <c r="D33" t="s">
        <v>98</v>
      </c>
      <c r="E33" s="59" t="s">
        <v>262</v>
      </c>
      <c r="F33">
        <v>-100</v>
      </c>
      <c r="G33" s="60">
        <v>2.2000000000000002</v>
      </c>
      <c r="K33" s="60">
        <v>220</v>
      </c>
      <c r="L33" s="60">
        <v>3300</v>
      </c>
      <c r="N33" s="59"/>
      <c r="S33" s="60">
        <v>2.2000000000000002</v>
      </c>
      <c r="T33" s="60">
        <v>0</v>
      </c>
    </row>
    <row r="34" spans="1:20" ht="15.75" customHeight="1" x14ac:dyDescent="0.25">
      <c r="A34" t="s">
        <v>219</v>
      </c>
      <c r="B34" s="59" t="s">
        <v>223</v>
      </c>
      <c r="C34" s="60">
        <v>27</v>
      </c>
      <c r="D34" t="s">
        <v>263</v>
      </c>
      <c r="E34" s="59" t="s">
        <v>264</v>
      </c>
      <c r="F34">
        <v>-200</v>
      </c>
      <c r="G34" s="60">
        <v>7</v>
      </c>
      <c r="K34" s="60">
        <v>1400</v>
      </c>
      <c r="L34" s="60">
        <v>5400</v>
      </c>
      <c r="N34" s="59"/>
      <c r="S34" s="60">
        <v>7</v>
      </c>
      <c r="T34" s="60">
        <v>0</v>
      </c>
    </row>
    <row r="35" spans="1:20" ht="15.75" customHeight="1" x14ac:dyDescent="0.25">
      <c r="A35" t="s">
        <v>56</v>
      </c>
      <c r="B35" s="59"/>
      <c r="D35" t="s">
        <v>265</v>
      </c>
      <c r="E35" s="59" t="s">
        <v>266</v>
      </c>
      <c r="F35">
        <v>100</v>
      </c>
      <c r="G35" s="60">
        <v>52.62</v>
      </c>
      <c r="H35" s="60">
        <v>5262</v>
      </c>
      <c r="N35" s="59"/>
      <c r="S35" s="60">
        <v>52.44</v>
      </c>
      <c r="T35" s="96">
        <v>-17.999999999999972</v>
      </c>
    </row>
    <row r="36" spans="1:20" ht="15.75" customHeight="1" x14ac:dyDescent="0.25">
      <c r="A36" t="s">
        <v>222</v>
      </c>
      <c r="B36" s="59" t="s">
        <v>229</v>
      </c>
      <c r="C36" s="60">
        <v>65</v>
      </c>
      <c r="D36" t="s">
        <v>265</v>
      </c>
      <c r="E36" s="59" t="s">
        <v>267</v>
      </c>
      <c r="F36">
        <v>-100</v>
      </c>
      <c r="G36" s="60">
        <v>3</v>
      </c>
      <c r="I36" s="91"/>
      <c r="J36" s="60">
        <v>300</v>
      </c>
      <c r="N36" s="59"/>
      <c r="S36" s="60">
        <v>3</v>
      </c>
      <c r="T36" s="60">
        <v>0</v>
      </c>
    </row>
    <row r="37" spans="1:20" ht="15.75" customHeight="1" x14ac:dyDescent="0.25"/>
    <row r="38" spans="1:20" ht="15.75" customHeight="1" x14ac:dyDescent="0.25"/>
    <row r="39" spans="1:20" ht="15.75" customHeight="1" x14ac:dyDescent="0.25"/>
    <row r="40" spans="1:20" ht="15.75" customHeight="1" x14ac:dyDescent="0.25"/>
    <row r="41" spans="1:20" ht="15.75" customHeight="1" x14ac:dyDescent="0.25"/>
    <row r="42" spans="1:20" ht="15.75" customHeight="1" x14ac:dyDescent="0.25"/>
    <row r="43" spans="1:20" ht="15.75" customHeight="1" x14ac:dyDescent="0.25"/>
    <row r="44" spans="1:20" ht="15.75" customHeight="1" x14ac:dyDescent="0.25"/>
    <row r="45" spans="1:20" ht="15.75" customHeight="1" x14ac:dyDescent="0.25"/>
    <row r="46" spans="1:20" ht="15.75" customHeight="1" x14ac:dyDescent="0.25"/>
    <row r="47" spans="1:20" ht="15.75" customHeight="1" x14ac:dyDescent="0.25"/>
    <row r="48" spans="1:20"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8.75" customHeight="1" x14ac:dyDescent="0.25"/>
    <row r="74" ht="15.75" customHeight="1" x14ac:dyDescent="0.25"/>
    <row r="75" ht="17.25" customHeight="1" x14ac:dyDescent="0.25"/>
    <row r="76" ht="15.75" customHeight="1" x14ac:dyDescent="0.25"/>
    <row r="77" ht="18.75" customHeight="1" x14ac:dyDescent="0.25"/>
    <row r="78" ht="18.75" customHeight="1" x14ac:dyDescent="0.25"/>
    <row r="79" ht="18.75" customHeight="1" x14ac:dyDescent="0.25"/>
    <row r="80" ht="15.75" customHeight="1" x14ac:dyDescent="0.25"/>
    <row r="81" ht="15.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row r="101" ht="18.75" customHeight="1" x14ac:dyDescent="0.25"/>
  </sheetData>
  <conditionalFormatting sqref="P1:P2 O2:O3 O6:O7">
    <cfRule type="cellIs" dxfId="3" priority="14" operator="lessThan">
      <formula>0</formula>
    </cfRule>
  </conditionalFormatting>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95"/>
  <sheetViews>
    <sheetView workbookViewId="0">
      <pane ySplit="2" topLeftCell="A72" activePane="bottomLeft" state="frozen"/>
      <selection pane="bottomLeft" activeCell="Q2" sqref="Q2"/>
    </sheetView>
  </sheetViews>
  <sheetFormatPr defaultRowHeight="15" x14ac:dyDescent="0.25"/>
  <cols>
    <col min="1" max="20" width="15.7109375" customWidth="1"/>
  </cols>
  <sheetData>
    <row r="1" spans="1:20" ht="47.25" customHeight="1" x14ac:dyDescent="0.25">
      <c r="A1" s="40" t="s">
        <v>208</v>
      </c>
      <c r="B1" s="41" t="s">
        <v>209</v>
      </c>
      <c r="C1" s="42" t="s">
        <v>2</v>
      </c>
      <c r="D1" s="43" t="s">
        <v>3</v>
      </c>
      <c r="E1" s="44" t="s">
        <v>4</v>
      </c>
      <c r="F1" s="43" t="s">
        <v>5</v>
      </c>
      <c r="G1" s="45" t="s">
        <v>6</v>
      </c>
      <c r="H1" s="46" t="s">
        <v>210</v>
      </c>
      <c r="I1" s="40" t="s">
        <v>211</v>
      </c>
      <c r="J1" s="46" t="s">
        <v>8</v>
      </c>
      <c r="K1" s="46" t="s">
        <v>9</v>
      </c>
      <c r="L1" s="46" t="s">
        <v>10</v>
      </c>
      <c r="M1" s="47" t="s">
        <v>11</v>
      </c>
      <c r="N1" s="47" t="s">
        <v>212</v>
      </c>
      <c r="O1" s="46" t="s">
        <v>213</v>
      </c>
      <c r="P1" s="46" t="s">
        <v>214</v>
      </c>
      <c r="Q1" s="48" t="s">
        <v>14</v>
      </c>
      <c r="R1" s="43" t="s">
        <v>215</v>
      </c>
      <c r="S1" s="46" t="s">
        <v>216</v>
      </c>
      <c r="T1" s="43" t="s">
        <v>217</v>
      </c>
    </row>
    <row r="2" spans="1:20" ht="24" customHeight="1" x14ac:dyDescent="0.25">
      <c r="A2" s="76"/>
      <c r="B2" s="77"/>
      <c r="C2" s="78"/>
      <c r="D2" s="79"/>
      <c r="E2" s="80"/>
      <c r="F2" s="79"/>
      <c r="G2" s="81"/>
      <c r="H2" s="82"/>
      <c r="I2" s="76"/>
      <c r="J2" s="82"/>
      <c r="K2" s="82"/>
      <c r="L2" s="82"/>
      <c r="M2" s="83"/>
      <c r="N2" s="83"/>
      <c r="O2" s="82"/>
      <c r="P2" s="82">
        <f>SUM(P3:P116)</f>
        <v>43262.5</v>
      </c>
      <c r="Q2" s="84">
        <f>SUM(Q3:Q116)/100</f>
        <v>0.36820000000000014</v>
      </c>
      <c r="R2" s="79"/>
      <c r="S2" s="82"/>
      <c r="T2" s="79"/>
    </row>
    <row r="3" spans="1:20" ht="15.75" customHeight="1" x14ac:dyDescent="0.25">
      <c r="A3" s="49" t="s">
        <v>241</v>
      </c>
      <c r="B3" s="50">
        <v>45674</v>
      </c>
      <c r="C3" s="51">
        <v>85</v>
      </c>
      <c r="D3" s="49" t="s">
        <v>106</v>
      </c>
      <c r="E3" s="50">
        <v>45609</v>
      </c>
      <c r="F3" s="52">
        <v>-100</v>
      </c>
      <c r="G3" s="51">
        <v>15.1</v>
      </c>
      <c r="H3" s="51"/>
      <c r="I3" s="49" t="s">
        <v>268</v>
      </c>
      <c r="J3" s="51"/>
      <c r="K3" s="51"/>
      <c r="L3" s="51"/>
      <c r="M3" s="49" t="s">
        <v>269</v>
      </c>
      <c r="N3" s="53">
        <v>45660</v>
      </c>
      <c r="O3" s="51">
        <v>11</v>
      </c>
      <c r="P3" s="54">
        <v>410</v>
      </c>
      <c r="Q3" s="55">
        <v>0.27</v>
      </c>
      <c r="R3" s="49" t="s">
        <v>270</v>
      </c>
      <c r="S3" s="51"/>
      <c r="T3" s="49"/>
    </row>
    <row r="4" spans="1:20" ht="15.75" customHeight="1" x14ac:dyDescent="0.25">
      <c r="A4" s="49" t="s">
        <v>219</v>
      </c>
      <c r="B4" s="53">
        <v>45674</v>
      </c>
      <c r="C4" s="51">
        <v>80</v>
      </c>
      <c r="D4" s="49" t="s">
        <v>106</v>
      </c>
      <c r="E4" s="53">
        <v>45614</v>
      </c>
      <c r="F4" s="49">
        <v>-100</v>
      </c>
      <c r="G4" s="51">
        <v>16</v>
      </c>
      <c r="H4" s="51"/>
      <c r="I4" s="56" t="s">
        <v>268</v>
      </c>
      <c r="J4" s="51"/>
      <c r="K4" s="51"/>
      <c r="L4" s="51"/>
      <c r="M4" s="49" t="s">
        <v>269</v>
      </c>
      <c r="N4" s="53">
        <v>45660</v>
      </c>
      <c r="O4" s="51">
        <v>8</v>
      </c>
      <c r="P4" s="51">
        <v>800</v>
      </c>
      <c r="Q4" s="57">
        <v>0.5</v>
      </c>
      <c r="R4" s="49"/>
      <c r="S4" s="51"/>
      <c r="T4" s="49"/>
    </row>
    <row r="5" spans="1:20" ht="15.75" customHeight="1" x14ac:dyDescent="0.25">
      <c r="A5" s="49" t="s">
        <v>241</v>
      </c>
      <c r="B5" s="53">
        <v>45674</v>
      </c>
      <c r="C5" s="51">
        <v>75</v>
      </c>
      <c r="D5" s="49" t="s">
        <v>106</v>
      </c>
      <c r="E5" s="53">
        <v>45639</v>
      </c>
      <c r="F5" s="49">
        <v>-100</v>
      </c>
      <c r="G5" s="51">
        <v>11.5</v>
      </c>
      <c r="H5" s="51"/>
      <c r="I5" s="56" t="s">
        <v>268</v>
      </c>
      <c r="J5" s="51"/>
      <c r="K5" s="51"/>
      <c r="L5" s="51"/>
      <c r="M5" s="49" t="s">
        <v>269</v>
      </c>
      <c r="N5" s="53">
        <v>45660</v>
      </c>
      <c r="O5" s="51">
        <v>5.0999999999999996</v>
      </c>
      <c r="P5" s="51">
        <v>640</v>
      </c>
      <c r="Q5" s="57">
        <v>0.56000000000000005</v>
      </c>
      <c r="R5" s="49"/>
      <c r="S5" s="51"/>
      <c r="T5" s="49"/>
    </row>
    <row r="6" spans="1:20" ht="15.75" customHeight="1" x14ac:dyDescent="0.25">
      <c r="A6" s="49" t="s">
        <v>56</v>
      </c>
      <c r="B6" s="53"/>
      <c r="C6" s="51"/>
      <c r="D6" s="49" t="s">
        <v>120</v>
      </c>
      <c r="E6" s="53">
        <v>45637</v>
      </c>
      <c r="F6" s="49">
        <v>100</v>
      </c>
      <c r="G6" s="51">
        <v>38.200000000000003</v>
      </c>
      <c r="H6" s="51"/>
      <c r="I6" s="56"/>
      <c r="J6" s="51"/>
      <c r="K6" s="51"/>
      <c r="L6" s="51"/>
      <c r="M6" s="49" t="s">
        <v>271</v>
      </c>
      <c r="N6" s="53">
        <v>45672</v>
      </c>
      <c r="O6" s="51">
        <v>44.4</v>
      </c>
      <c r="P6" s="51">
        <v>620</v>
      </c>
      <c r="Q6" s="57">
        <v>0.14000000000000001</v>
      </c>
      <c r="R6" s="49"/>
      <c r="S6" s="51"/>
      <c r="T6" s="49"/>
    </row>
    <row r="7" spans="1:20" ht="15.75" customHeight="1" x14ac:dyDescent="0.25">
      <c r="A7" s="49" t="s">
        <v>219</v>
      </c>
      <c r="B7" s="53">
        <v>45709</v>
      </c>
      <c r="C7" s="51">
        <v>50</v>
      </c>
      <c r="D7" s="49" t="s">
        <v>120</v>
      </c>
      <c r="E7" s="53">
        <v>45637</v>
      </c>
      <c r="F7" s="49">
        <v>-100</v>
      </c>
      <c r="G7" s="51">
        <v>13.1</v>
      </c>
      <c r="H7" s="51"/>
      <c r="I7" s="56"/>
      <c r="J7" s="51"/>
      <c r="K7" s="51"/>
      <c r="L7" s="51"/>
      <c r="M7" s="49" t="s">
        <v>271</v>
      </c>
      <c r="N7" s="53">
        <v>45672</v>
      </c>
      <c r="O7" s="51">
        <v>7.87</v>
      </c>
      <c r="P7" s="51">
        <v>523</v>
      </c>
      <c r="Q7" s="57">
        <v>0.4</v>
      </c>
      <c r="R7" s="49"/>
      <c r="S7" s="51"/>
      <c r="T7" s="49"/>
    </row>
    <row r="8" spans="1:20" ht="15.75" customHeight="1" x14ac:dyDescent="0.25">
      <c r="A8" s="49" t="s">
        <v>222</v>
      </c>
      <c r="B8" s="53">
        <v>45646</v>
      </c>
      <c r="C8" s="51">
        <v>85</v>
      </c>
      <c r="D8" s="49" t="s">
        <v>106</v>
      </c>
      <c r="E8" s="53">
        <v>45660</v>
      </c>
      <c r="F8" s="49">
        <v>-100</v>
      </c>
      <c r="G8" s="51">
        <v>2</v>
      </c>
      <c r="H8" s="51"/>
      <c r="I8" s="56" t="s">
        <v>268</v>
      </c>
      <c r="J8" s="51"/>
      <c r="K8" s="51"/>
      <c r="L8" s="51"/>
      <c r="M8" s="49" t="s">
        <v>272</v>
      </c>
      <c r="N8" s="53">
        <v>45674</v>
      </c>
      <c r="O8" s="51">
        <v>2</v>
      </c>
      <c r="P8" s="51">
        <v>200</v>
      </c>
      <c r="Q8" s="57">
        <v>1</v>
      </c>
      <c r="R8" s="49" t="s">
        <v>273</v>
      </c>
      <c r="S8" s="51"/>
      <c r="T8" s="49"/>
    </row>
    <row r="9" spans="1:20" ht="15.75" customHeight="1" x14ac:dyDescent="0.25">
      <c r="A9" s="49" t="s">
        <v>222</v>
      </c>
      <c r="B9" s="53">
        <v>45646</v>
      </c>
      <c r="C9" s="51">
        <v>40</v>
      </c>
      <c r="D9" s="49" t="s">
        <v>193</v>
      </c>
      <c r="E9" s="53">
        <v>45631</v>
      </c>
      <c r="F9" s="49">
        <v>-100</v>
      </c>
      <c r="G9" s="51">
        <v>3</v>
      </c>
      <c r="H9" s="51"/>
      <c r="I9" s="56" t="s">
        <v>268</v>
      </c>
      <c r="J9" s="51"/>
      <c r="K9" s="51"/>
      <c r="L9" s="51"/>
      <c r="M9" s="49" t="s">
        <v>272</v>
      </c>
      <c r="N9" s="53">
        <v>45674</v>
      </c>
      <c r="O9" s="51">
        <v>3</v>
      </c>
      <c r="P9" s="51">
        <v>300</v>
      </c>
      <c r="Q9" s="57">
        <v>1</v>
      </c>
      <c r="R9" s="49" t="s">
        <v>274</v>
      </c>
      <c r="S9" s="51"/>
      <c r="T9" s="49"/>
    </row>
    <row r="10" spans="1:20" ht="15.75" customHeight="1" x14ac:dyDescent="0.25">
      <c r="A10" s="49" t="s">
        <v>219</v>
      </c>
      <c r="B10" s="53">
        <v>45709</v>
      </c>
      <c r="C10" s="51">
        <v>32</v>
      </c>
      <c r="D10" s="49" t="s">
        <v>197</v>
      </c>
      <c r="E10" s="53">
        <v>45644</v>
      </c>
      <c r="F10" s="49">
        <v>-100</v>
      </c>
      <c r="G10" s="51">
        <v>5.95</v>
      </c>
      <c r="H10" s="51"/>
      <c r="I10" s="56" t="s">
        <v>268</v>
      </c>
      <c r="J10" s="51"/>
      <c r="K10" s="51"/>
      <c r="L10" s="51"/>
      <c r="M10" s="49" t="s">
        <v>275</v>
      </c>
      <c r="N10" s="53">
        <v>45678</v>
      </c>
      <c r="O10" s="51">
        <v>4.3499999999999996</v>
      </c>
      <c r="P10" s="51">
        <v>160</v>
      </c>
      <c r="Q10" s="57">
        <v>0.27</v>
      </c>
      <c r="R10" s="49" t="s">
        <v>276</v>
      </c>
      <c r="S10" s="51"/>
      <c r="T10" s="49"/>
    </row>
    <row r="11" spans="1:20" ht="15.75" customHeight="1" x14ac:dyDescent="0.25">
      <c r="A11" s="49" t="s">
        <v>241</v>
      </c>
      <c r="B11" s="53">
        <v>45709</v>
      </c>
      <c r="C11" s="51">
        <v>33</v>
      </c>
      <c r="D11" s="49" t="s">
        <v>197</v>
      </c>
      <c r="E11" s="53">
        <v>45664</v>
      </c>
      <c r="F11" s="49">
        <v>-100</v>
      </c>
      <c r="G11" s="51">
        <v>8</v>
      </c>
      <c r="H11" s="51"/>
      <c r="I11" s="56" t="s">
        <v>268</v>
      </c>
      <c r="J11" s="51"/>
      <c r="K11" s="51"/>
      <c r="L11" s="51"/>
      <c r="M11" s="49" t="s">
        <v>275</v>
      </c>
      <c r="N11" s="53">
        <v>45678</v>
      </c>
      <c r="O11" s="51">
        <v>5.3</v>
      </c>
      <c r="P11" s="51">
        <v>270</v>
      </c>
      <c r="Q11" s="57">
        <v>0.34</v>
      </c>
      <c r="R11" s="49" t="s">
        <v>276</v>
      </c>
      <c r="S11" s="51" t="s">
        <v>270</v>
      </c>
      <c r="T11" s="49"/>
    </row>
    <row r="12" spans="1:20" ht="15.75" customHeight="1" x14ac:dyDescent="0.25">
      <c r="A12" s="49" t="s">
        <v>219</v>
      </c>
      <c r="B12" s="53">
        <v>45709</v>
      </c>
      <c r="C12" s="51">
        <v>70</v>
      </c>
      <c r="D12" s="49" t="s">
        <v>200</v>
      </c>
      <c r="E12" s="53">
        <v>45644</v>
      </c>
      <c r="F12" s="49">
        <v>-100</v>
      </c>
      <c r="G12" s="51">
        <v>6.5</v>
      </c>
      <c r="H12" s="51"/>
      <c r="I12" s="56" t="s">
        <v>268</v>
      </c>
      <c r="J12" s="51"/>
      <c r="K12" s="51"/>
      <c r="L12" s="51"/>
      <c r="M12" s="49" t="s">
        <v>277</v>
      </c>
      <c r="N12" s="53">
        <v>45680</v>
      </c>
      <c r="O12" s="51">
        <v>3.6</v>
      </c>
      <c r="P12" s="51">
        <v>290</v>
      </c>
      <c r="Q12" s="57">
        <v>0.45</v>
      </c>
      <c r="R12" s="49"/>
      <c r="S12" s="51"/>
      <c r="T12" s="49"/>
    </row>
    <row r="13" spans="1:20" ht="15.75" customHeight="1" x14ac:dyDescent="0.25">
      <c r="A13" s="49" t="s">
        <v>219</v>
      </c>
      <c r="B13" s="53">
        <v>45709</v>
      </c>
      <c r="C13" s="51">
        <v>30</v>
      </c>
      <c r="D13" s="49" t="s">
        <v>189</v>
      </c>
      <c r="E13" s="53">
        <v>45670</v>
      </c>
      <c r="F13" s="49">
        <v>-200</v>
      </c>
      <c r="G13" s="51">
        <v>13</v>
      </c>
      <c r="H13" s="51"/>
      <c r="I13" s="56" t="s">
        <v>268</v>
      </c>
      <c r="J13" s="51"/>
      <c r="K13" s="51"/>
      <c r="L13" s="51"/>
      <c r="M13" s="49" t="s">
        <v>277</v>
      </c>
      <c r="N13" s="53">
        <v>45680</v>
      </c>
      <c r="O13" s="51">
        <v>10.15</v>
      </c>
      <c r="P13" s="51">
        <v>570</v>
      </c>
      <c r="Q13" s="57">
        <v>0.22</v>
      </c>
      <c r="R13" s="49"/>
      <c r="S13" s="51"/>
      <c r="T13" s="49"/>
    </row>
    <row r="14" spans="1:20" ht="15.75" customHeight="1" x14ac:dyDescent="0.25">
      <c r="A14" s="49" t="s">
        <v>219</v>
      </c>
      <c r="B14" s="53">
        <v>45709</v>
      </c>
      <c r="C14" s="51">
        <v>50</v>
      </c>
      <c r="D14" s="49" t="s">
        <v>218</v>
      </c>
      <c r="E14" s="53">
        <v>45673</v>
      </c>
      <c r="F14" s="49">
        <v>-100</v>
      </c>
      <c r="G14" s="51">
        <v>8.5</v>
      </c>
      <c r="H14" s="51"/>
      <c r="I14" s="56"/>
      <c r="J14" s="51"/>
      <c r="K14" s="51"/>
      <c r="L14" s="51"/>
      <c r="M14" s="49" t="s">
        <v>277</v>
      </c>
      <c r="N14" s="53">
        <v>45680</v>
      </c>
      <c r="O14" s="51">
        <v>5.5</v>
      </c>
      <c r="P14" s="51">
        <v>300</v>
      </c>
      <c r="Q14" s="57">
        <v>0.35</v>
      </c>
      <c r="R14" s="49"/>
      <c r="S14" s="51"/>
      <c r="T14" s="49"/>
    </row>
    <row r="15" spans="1:20" ht="15.75" customHeight="1" x14ac:dyDescent="0.25">
      <c r="A15" s="49" t="s">
        <v>219</v>
      </c>
      <c r="B15" s="53">
        <v>45709</v>
      </c>
      <c r="C15" s="51">
        <v>40</v>
      </c>
      <c r="D15" s="49" t="s">
        <v>171</v>
      </c>
      <c r="E15" s="53">
        <v>45657</v>
      </c>
      <c r="F15" s="49">
        <v>-100</v>
      </c>
      <c r="G15" s="51">
        <v>8</v>
      </c>
      <c r="H15" s="51"/>
      <c r="I15" s="56" t="s">
        <v>268</v>
      </c>
      <c r="J15" s="51"/>
      <c r="K15" s="51"/>
      <c r="L15" s="51"/>
      <c r="M15" s="49" t="s">
        <v>277</v>
      </c>
      <c r="N15" s="53">
        <v>45680</v>
      </c>
      <c r="O15" s="51">
        <v>4.8</v>
      </c>
      <c r="P15" s="51">
        <v>320</v>
      </c>
      <c r="Q15" s="57">
        <v>0.4</v>
      </c>
      <c r="R15" s="49"/>
      <c r="S15" s="51"/>
      <c r="T15" s="49"/>
    </row>
    <row r="16" spans="1:20" ht="15.75" customHeight="1" x14ac:dyDescent="0.25">
      <c r="A16" s="49" t="s">
        <v>219</v>
      </c>
      <c r="B16" s="53">
        <v>45709</v>
      </c>
      <c r="C16" s="51">
        <v>83</v>
      </c>
      <c r="D16" s="49" t="s">
        <v>106</v>
      </c>
      <c r="E16" s="53">
        <v>45664</v>
      </c>
      <c r="F16" s="49">
        <v>-100</v>
      </c>
      <c r="G16" s="51">
        <v>15.1</v>
      </c>
      <c r="H16" s="51"/>
      <c r="I16" s="56" t="s">
        <v>278</v>
      </c>
      <c r="J16" s="51"/>
      <c r="K16" s="51"/>
      <c r="L16" s="51"/>
      <c r="M16" s="49" t="s">
        <v>279</v>
      </c>
      <c r="N16" s="53">
        <v>45678</v>
      </c>
      <c r="O16" s="51">
        <v>9.8000000000000007</v>
      </c>
      <c r="P16" s="51">
        <v>530</v>
      </c>
      <c r="Q16" s="57">
        <v>0.35</v>
      </c>
      <c r="R16" s="58">
        <v>2585</v>
      </c>
      <c r="S16" s="51"/>
      <c r="T16" s="49"/>
    </row>
    <row r="17" spans="1:20" ht="15.75" customHeight="1" x14ac:dyDescent="0.25">
      <c r="A17" s="49" t="s">
        <v>219</v>
      </c>
      <c r="B17" s="53">
        <v>45737</v>
      </c>
      <c r="C17" s="51">
        <v>75</v>
      </c>
      <c r="D17" s="49" t="s">
        <v>106</v>
      </c>
      <c r="E17" s="53">
        <v>45667</v>
      </c>
      <c r="F17" s="49">
        <v>-100</v>
      </c>
      <c r="G17" s="51">
        <v>15.95</v>
      </c>
      <c r="H17" s="51"/>
      <c r="I17" s="56" t="s">
        <v>278</v>
      </c>
      <c r="J17" s="51"/>
      <c r="K17" s="51"/>
      <c r="L17" s="51"/>
      <c r="M17" s="49" t="s">
        <v>277</v>
      </c>
      <c r="N17" s="53">
        <v>45680</v>
      </c>
      <c r="O17" s="51">
        <v>10.199999999999999</v>
      </c>
      <c r="P17" s="51">
        <v>575</v>
      </c>
      <c r="Q17" s="57">
        <v>0.36</v>
      </c>
      <c r="R17" s="49"/>
      <c r="S17" s="51"/>
      <c r="T17" s="49"/>
    </row>
    <row r="18" spans="1:20" ht="15.75" customHeight="1" x14ac:dyDescent="0.25">
      <c r="A18" s="49" t="s">
        <v>56</v>
      </c>
      <c r="B18" s="53"/>
      <c r="C18" s="51"/>
      <c r="D18" s="49" t="s">
        <v>175</v>
      </c>
      <c r="E18" s="53">
        <v>45596</v>
      </c>
      <c r="F18" s="49">
        <v>100</v>
      </c>
      <c r="G18" s="51">
        <v>48.64</v>
      </c>
      <c r="H18" s="51"/>
      <c r="I18" s="56"/>
      <c r="J18" s="51"/>
      <c r="K18" s="51"/>
      <c r="L18" s="51"/>
      <c r="M18" s="49" t="s">
        <v>280</v>
      </c>
      <c r="N18" s="53">
        <v>45684</v>
      </c>
      <c r="O18" s="51">
        <v>49.31</v>
      </c>
      <c r="P18" s="51">
        <v>67</v>
      </c>
      <c r="Q18" s="57">
        <v>0.01</v>
      </c>
      <c r="R18" s="49"/>
      <c r="S18" s="51"/>
      <c r="T18" s="49"/>
    </row>
    <row r="19" spans="1:20" ht="15.75" customHeight="1" x14ac:dyDescent="0.25">
      <c r="A19" s="49" t="s">
        <v>219</v>
      </c>
      <c r="B19" s="53">
        <v>45709</v>
      </c>
      <c r="C19" s="51">
        <v>55</v>
      </c>
      <c r="D19" s="49" t="s">
        <v>175</v>
      </c>
      <c r="E19" s="53">
        <v>45297</v>
      </c>
      <c r="F19" s="49">
        <v>-100</v>
      </c>
      <c r="G19" s="51">
        <v>9.6</v>
      </c>
      <c r="H19" s="51"/>
      <c r="I19" s="56"/>
      <c r="J19" s="51"/>
      <c r="K19" s="51"/>
      <c r="L19" s="51"/>
      <c r="M19" s="49" t="s">
        <v>280</v>
      </c>
      <c r="N19" s="53">
        <v>45684</v>
      </c>
      <c r="O19" s="51">
        <v>6.02</v>
      </c>
      <c r="P19" s="51">
        <v>358</v>
      </c>
      <c r="Q19" s="57">
        <v>0.37</v>
      </c>
      <c r="R19" s="49"/>
      <c r="S19" s="51"/>
      <c r="T19" s="49"/>
    </row>
    <row r="20" spans="1:20" ht="15.75" customHeight="1" x14ac:dyDescent="0.25">
      <c r="A20" s="49" t="s">
        <v>56</v>
      </c>
      <c r="B20" s="53"/>
      <c r="C20" s="51"/>
      <c r="D20" s="49" t="s">
        <v>193</v>
      </c>
      <c r="E20" s="53">
        <v>45630</v>
      </c>
      <c r="F20" s="49">
        <v>100</v>
      </c>
      <c r="G20" s="51">
        <v>35</v>
      </c>
      <c r="H20" s="51"/>
      <c r="I20" s="56"/>
      <c r="J20" s="51"/>
      <c r="K20" s="51"/>
      <c r="L20" s="51"/>
      <c r="M20" s="49" t="s">
        <v>281</v>
      </c>
      <c r="N20" s="53">
        <v>45694</v>
      </c>
      <c r="O20" s="51">
        <v>34.25</v>
      </c>
      <c r="P20" s="51">
        <v>-75</v>
      </c>
      <c r="Q20" s="57">
        <v>-0.02</v>
      </c>
      <c r="R20" s="49" t="s">
        <v>282</v>
      </c>
      <c r="S20" s="51"/>
      <c r="T20" s="49"/>
    </row>
    <row r="21" spans="1:20" ht="15.75" customHeight="1" x14ac:dyDescent="0.25">
      <c r="A21" s="49" t="s">
        <v>56</v>
      </c>
      <c r="B21" s="53"/>
      <c r="C21" s="51"/>
      <c r="D21" s="49" t="s">
        <v>193</v>
      </c>
      <c r="E21" s="53">
        <v>45632</v>
      </c>
      <c r="F21" s="49">
        <v>100</v>
      </c>
      <c r="G21" s="51">
        <v>32.5</v>
      </c>
      <c r="H21" s="51"/>
      <c r="I21" s="56"/>
      <c r="J21" s="51"/>
      <c r="K21" s="51"/>
      <c r="L21" s="51"/>
      <c r="M21" s="49" t="s">
        <v>281</v>
      </c>
      <c r="N21" s="53">
        <v>45694</v>
      </c>
      <c r="O21" s="51">
        <v>34.25</v>
      </c>
      <c r="P21" s="51">
        <v>175</v>
      </c>
      <c r="Q21" s="57">
        <v>0.05</v>
      </c>
      <c r="R21" s="49" t="s">
        <v>282</v>
      </c>
      <c r="S21" s="51"/>
      <c r="T21" s="49"/>
    </row>
    <row r="22" spans="1:20" ht="15.75" customHeight="1" x14ac:dyDescent="0.25">
      <c r="A22" s="49" t="s">
        <v>241</v>
      </c>
      <c r="B22" s="53">
        <v>45674</v>
      </c>
      <c r="C22" s="51">
        <v>40</v>
      </c>
      <c r="D22" s="49" t="s">
        <v>193</v>
      </c>
      <c r="E22" s="53">
        <v>45630</v>
      </c>
      <c r="F22" s="49">
        <v>100</v>
      </c>
      <c r="G22" s="51">
        <v>32.799999999999997</v>
      </c>
      <c r="H22" s="51"/>
      <c r="I22" s="56" t="s">
        <v>220</v>
      </c>
      <c r="J22" s="51"/>
      <c r="K22" s="51"/>
      <c r="L22" s="51"/>
      <c r="M22" s="49" t="s">
        <v>281</v>
      </c>
      <c r="N22" s="53">
        <v>45694</v>
      </c>
      <c r="O22" s="51">
        <v>34.25</v>
      </c>
      <c r="P22" s="51">
        <v>145</v>
      </c>
      <c r="Q22" s="57">
        <v>0.96</v>
      </c>
      <c r="R22" s="49" t="s">
        <v>283</v>
      </c>
      <c r="S22" s="51"/>
      <c r="T22" s="49"/>
    </row>
    <row r="23" spans="1:20" ht="15.75" customHeight="1" x14ac:dyDescent="0.25">
      <c r="A23" s="49" t="s">
        <v>241</v>
      </c>
      <c r="B23" s="53"/>
      <c r="C23" s="51">
        <v>65</v>
      </c>
      <c r="D23" s="49" t="s">
        <v>284</v>
      </c>
      <c r="E23" s="53">
        <v>45686</v>
      </c>
      <c r="F23" s="49">
        <v>-100</v>
      </c>
      <c r="G23" s="51">
        <v>10</v>
      </c>
      <c r="H23" s="51"/>
      <c r="I23" s="56"/>
      <c r="J23" s="51"/>
      <c r="K23" s="51"/>
      <c r="L23" s="51"/>
      <c r="M23" s="49" t="s">
        <v>285</v>
      </c>
      <c r="N23" s="53">
        <v>45695</v>
      </c>
      <c r="O23" s="51">
        <v>0.75</v>
      </c>
      <c r="P23" s="51">
        <v>925</v>
      </c>
      <c r="Q23" s="57">
        <v>0.08</v>
      </c>
      <c r="R23" s="49" t="s">
        <v>286</v>
      </c>
      <c r="S23" s="51"/>
      <c r="T23" s="49"/>
    </row>
    <row r="24" spans="1:20" ht="15.75" customHeight="1" x14ac:dyDescent="0.25">
      <c r="A24" s="49" t="s">
        <v>56</v>
      </c>
      <c r="B24" s="53"/>
      <c r="C24" s="51"/>
      <c r="D24" s="49" t="s">
        <v>284</v>
      </c>
      <c r="E24" s="53">
        <v>45691</v>
      </c>
      <c r="F24" s="49">
        <v>100</v>
      </c>
      <c r="G24" s="51">
        <v>57</v>
      </c>
      <c r="H24" s="51"/>
      <c r="I24" s="56"/>
      <c r="J24" s="51"/>
      <c r="K24" s="51"/>
      <c r="L24" s="51"/>
      <c r="M24" s="49" t="s">
        <v>285</v>
      </c>
      <c r="N24" s="53">
        <v>45695</v>
      </c>
      <c r="O24" s="51">
        <v>76.8</v>
      </c>
      <c r="P24" s="51">
        <v>1980</v>
      </c>
      <c r="Q24" s="57">
        <v>0.26</v>
      </c>
      <c r="R24" s="49" t="s">
        <v>287</v>
      </c>
      <c r="S24" s="51"/>
      <c r="T24" s="49"/>
    </row>
    <row r="25" spans="1:20" ht="15.75" customHeight="1" x14ac:dyDescent="0.25">
      <c r="A25" s="49" t="s">
        <v>288</v>
      </c>
      <c r="B25" s="53"/>
      <c r="C25" s="51">
        <v>65</v>
      </c>
      <c r="D25" s="49" t="s">
        <v>284</v>
      </c>
      <c r="E25" s="53">
        <v>45691</v>
      </c>
      <c r="F25" s="49">
        <v>-100</v>
      </c>
      <c r="G25" s="51">
        <v>2.8</v>
      </c>
      <c r="H25" s="51"/>
      <c r="I25" s="56"/>
      <c r="J25" s="51"/>
      <c r="K25" s="51"/>
      <c r="L25" s="51"/>
      <c r="M25" s="49" t="s">
        <v>285</v>
      </c>
      <c r="N25" s="53">
        <v>45695</v>
      </c>
      <c r="O25" s="51">
        <v>11.5</v>
      </c>
      <c r="P25" s="51">
        <v>-870</v>
      </c>
      <c r="Q25" s="57">
        <v>-3.11</v>
      </c>
      <c r="R25" s="54">
        <v>2035</v>
      </c>
      <c r="S25" s="51"/>
      <c r="T25" s="49"/>
    </row>
    <row r="26" spans="1:20" ht="15.75" customHeight="1" x14ac:dyDescent="0.25">
      <c r="A26" s="49" t="s">
        <v>241</v>
      </c>
      <c r="B26" s="53"/>
      <c r="C26" s="51">
        <v>64</v>
      </c>
      <c r="D26" s="49" t="s">
        <v>106</v>
      </c>
      <c r="E26" s="53">
        <v>45688</v>
      </c>
      <c r="F26" s="49">
        <v>-100</v>
      </c>
      <c r="G26" s="51">
        <v>20</v>
      </c>
      <c r="H26" s="51"/>
      <c r="I26" s="56" t="s">
        <v>278</v>
      </c>
      <c r="J26" s="51"/>
      <c r="K26" s="51"/>
      <c r="L26" s="51"/>
      <c r="M26" s="49" t="s">
        <v>285</v>
      </c>
      <c r="N26" s="53">
        <v>45695</v>
      </c>
      <c r="O26" s="51">
        <v>14</v>
      </c>
      <c r="P26" s="51">
        <v>600</v>
      </c>
      <c r="Q26" s="57">
        <v>0.3</v>
      </c>
      <c r="R26" s="49"/>
      <c r="S26" s="51"/>
      <c r="T26" s="49"/>
    </row>
    <row r="27" spans="1:20" ht="15.75" customHeight="1" x14ac:dyDescent="0.25">
      <c r="A27" s="49" t="s">
        <v>288</v>
      </c>
      <c r="B27" s="53">
        <v>45709</v>
      </c>
      <c r="C27" s="51">
        <v>85</v>
      </c>
      <c r="D27" s="49" t="s">
        <v>106</v>
      </c>
      <c r="E27" s="53">
        <v>45681</v>
      </c>
      <c r="F27" s="49">
        <v>-100</v>
      </c>
      <c r="G27" s="51">
        <v>4.05</v>
      </c>
      <c r="H27" s="51"/>
      <c r="I27" s="56"/>
      <c r="J27" s="51"/>
      <c r="K27" s="51"/>
      <c r="L27" s="51"/>
      <c r="M27" s="49" t="s">
        <v>289</v>
      </c>
      <c r="N27" s="53">
        <v>45706</v>
      </c>
      <c r="O27" s="51">
        <v>0.02</v>
      </c>
      <c r="P27" s="51">
        <v>405</v>
      </c>
      <c r="Q27" s="57">
        <v>1</v>
      </c>
      <c r="R27" s="49"/>
      <c r="S27" s="51"/>
      <c r="T27" s="49"/>
    </row>
    <row r="28" spans="1:20" ht="15.75" customHeight="1" x14ac:dyDescent="0.25">
      <c r="A28" s="49" t="s">
        <v>241</v>
      </c>
      <c r="B28" s="53">
        <v>45737</v>
      </c>
      <c r="C28" s="51">
        <v>44</v>
      </c>
      <c r="D28" s="49" t="s">
        <v>290</v>
      </c>
      <c r="E28" s="53">
        <v>45667</v>
      </c>
      <c r="F28" s="49">
        <v>-100</v>
      </c>
      <c r="G28" s="51">
        <v>8.9</v>
      </c>
      <c r="H28" s="51"/>
      <c r="I28" s="56"/>
      <c r="J28" s="51"/>
      <c r="K28" s="51"/>
      <c r="L28" s="51"/>
      <c r="M28" s="49" t="s">
        <v>291</v>
      </c>
      <c r="N28" s="53">
        <v>45707</v>
      </c>
      <c r="O28" s="51">
        <v>5.35</v>
      </c>
      <c r="P28" s="51">
        <v>355</v>
      </c>
      <c r="Q28" s="57">
        <v>0.4</v>
      </c>
      <c r="R28" s="49" t="s">
        <v>292</v>
      </c>
      <c r="S28" s="51"/>
      <c r="T28" s="49"/>
    </row>
    <row r="29" spans="1:20" ht="15.75" customHeight="1" x14ac:dyDescent="0.25">
      <c r="A29" s="49" t="s">
        <v>219</v>
      </c>
      <c r="B29" s="53">
        <v>45737</v>
      </c>
      <c r="C29" s="51">
        <v>40</v>
      </c>
      <c r="D29" s="49" t="s">
        <v>293</v>
      </c>
      <c r="E29" s="53">
        <v>45700</v>
      </c>
      <c r="F29" s="49">
        <v>-100</v>
      </c>
      <c r="G29" s="51">
        <v>7.4</v>
      </c>
      <c r="H29" s="51"/>
      <c r="I29" s="56"/>
      <c r="J29" s="51"/>
      <c r="K29" s="51"/>
      <c r="L29" s="51"/>
      <c r="M29" s="49" t="s">
        <v>291</v>
      </c>
      <c r="N29" s="53">
        <v>45707</v>
      </c>
      <c r="O29" s="51">
        <v>4.9800000000000004</v>
      </c>
      <c r="P29" s="51">
        <v>242</v>
      </c>
      <c r="Q29" s="57">
        <v>0.33</v>
      </c>
      <c r="R29" s="49" t="s">
        <v>294</v>
      </c>
      <c r="S29" s="51"/>
      <c r="T29" s="49"/>
    </row>
    <row r="30" spans="1:20" ht="15.75" customHeight="1" x14ac:dyDescent="0.25">
      <c r="A30" s="49" t="s">
        <v>241</v>
      </c>
      <c r="B30" s="53">
        <v>45737</v>
      </c>
      <c r="C30" s="51">
        <v>43</v>
      </c>
      <c r="D30" s="49" t="s">
        <v>290</v>
      </c>
      <c r="E30" s="53">
        <v>45667</v>
      </c>
      <c r="F30" s="49">
        <v>-100</v>
      </c>
      <c r="G30" s="51">
        <v>8.5</v>
      </c>
      <c r="H30" s="51"/>
      <c r="I30" s="56"/>
      <c r="J30" s="51"/>
      <c r="K30" s="51"/>
      <c r="L30" s="51"/>
      <c r="M30" s="49" t="s">
        <v>295</v>
      </c>
      <c r="N30" s="53">
        <v>45708</v>
      </c>
      <c r="O30" s="51">
        <v>3.45</v>
      </c>
      <c r="P30" s="51">
        <v>505</v>
      </c>
      <c r="Q30" s="57">
        <v>0.59</v>
      </c>
      <c r="R30" s="49"/>
      <c r="S30" s="51"/>
      <c r="T30" s="49"/>
    </row>
    <row r="31" spans="1:20" ht="15.75" customHeight="1" x14ac:dyDescent="0.25">
      <c r="A31" s="49" t="s">
        <v>222</v>
      </c>
      <c r="B31" s="53">
        <v>45709</v>
      </c>
      <c r="C31" s="51">
        <v>50</v>
      </c>
      <c r="D31" s="49" t="s">
        <v>218</v>
      </c>
      <c r="E31" s="53">
        <v>45678</v>
      </c>
      <c r="F31" s="49">
        <v>-100</v>
      </c>
      <c r="G31" s="51">
        <v>2</v>
      </c>
      <c r="H31" s="51"/>
      <c r="I31" s="56"/>
      <c r="J31" s="51"/>
      <c r="K31" s="51"/>
      <c r="L31" s="51"/>
      <c r="M31" s="49" t="s">
        <v>296</v>
      </c>
      <c r="N31" s="53">
        <v>45710</v>
      </c>
      <c r="O31" s="51">
        <v>2</v>
      </c>
      <c r="P31" s="51">
        <v>200</v>
      </c>
      <c r="Q31" s="57">
        <v>1</v>
      </c>
      <c r="R31" s="49" t="s">
        <v>297</v>
      </c>
      <c r="S31" s="51"/>
      <c r="T31" s="49"/>
    </row>
    <row r="32" spans="1:20" ht="15.75" customHeight="1" x14ac:dyDescent="0.25">
      <c r="A32" s="49" t="s">
        <v>56</v>
      </c>
      <c r="B32" s="53"/>
      <c r="C32" s="51"/>
      <c r="D32" s="49" t="s">
        <v>171</v>
      </c>
      <c r="E32" s="53">
        <v>45588</v>
      </c>
      <c r="F32" s="49">
        <v>100</v>
      </c>
      <c r="G32" s="51">
        <v>32.25</v>
      </c>
      <c r="H32" s="51"/>
      <c r="I32" s="56"/>
      <c r="J32" s="51"/>
      <c r="K32" s="51"/>
      <c r="L32" s="51"/>
      <c r="M32" s="49" t="s">
        <v>298</v>
      </c>
      <c r="N32" s="53">
        <v>45709</v>
      </c>
      <c r="O32" s="51">
        <v>40</v>
      </c>
      <c r="P32" s="51">
        <v>775</v>
      </c>
      <c r="Q32" s="57">
        <v>0.19</v>
      </c>
      <c r="R32" s="49"/>
      <c r="S32" s="51"/>
      <c r="T32" s="49"/>
    </row>
    <row r="33" spans="1:20" ht="15.75" customHeight="1" x14ac:dyDescent="0.25">
      <c r="A33" s="49" t="s">
        <v>288</v>
      </c>
      <c r="B33" s="53">
        <v>45709</v>
      </c>
      <c r="C33" s="51">
        <v>40</v>
      </c>
      <c r="D33" s="49" t="s">
        <v>171</v>
      </c>
      <c r="E33" s="53">
        <v>45679</v>
      </c>
      <c r="F33" s="49">
        <v>-100</v>
      </c>
      <c r="G33" s="51">
        <v>3</v>
      </c>
      <c r="H33" s="51"/>
      <c r="I33" s="56"/>
      <c r="J33" s="51"/>
      <c r="K33" s="51"/>
      <c r="L33" s="51"/>
      <c r="M33" s="49" t="s">
        <v>299</v>
      </c>
      <c r="N33" s="53">
        <v>45709</v>
      </c>
      <c r="O33" s="51">
        <v>3</v>
      </c>
      <c r="P33" s="51">
        <v>300</v>
      </c>
      <c r="Q33" s="57">
        <v>1</v>
      </c>
      <c r="R33" s="54">
        <v>1475</v>
      </c>
      <c r="S33" s="51"/>
      <c r="T33" s="49"/>
    </row>
    <row r="34" spans="1:20" ht="15.75" customHeight="1" x14ac:dyDescent="0.25">
      <c r="A34" s="49" t="s">
        <v>288</v>
      </c>
      <c r="B34" s="53">
        <v>45709</v>
      </c>
      <c r="C34" s="51">
        <v>44</v>
      </c>
      <c r="D34" s="49" t="s">
        <v>290</v>
      </c>
      <c r="E34" s="53">
        <v>45681</v>
      </c>
      <c r="F34" s="49">
        <v>-100</v>
      </c>
      <c r="G34" s="51">
        <v>2</v>
      </c>
      <c r="H34" s="51"/>
      <c r="I34" s="56"/>
      <c r="J34" s="51"/>
      <c r="K34" s="51"/>
      <c r="L34" s="51"/>
      <c r="M34" s="49" t="s">
        <v>300</v>
      </c>
      <c r="N34" s="53">
        <v>45710</v>
      </c>
      <c r="O34" s="51">
        <v>2</v>
      </c>
      <c r="P34" s="51">
        <v>200</v>
      </c>
      <c r="Q34" s="57">
        <v>1</v>
      </c>
      <c r="R34" s="49" t="s">
        <v>297</v>
      </c>
      <c r="S34" s="51"/>
      <c r="T34" s="49"/>
    </row>
    <row r="35" spans="1:20" ht="15.75" customHeight="1" x14ac:dyDescent="0.25">
      <c r="A35" s="49" t="s">
        <v>222</v>
      </c>
      <c r="B35" s="53">
        <v>45737</v>
      </c>
      <c r="C35" s="51">
        <v>70</v>
      </c>
      <c r="D35" s="49" t="s">
        <v>200</v>
      </c>
      <c r="E35" s="53">
        <v>45698</v>
      </c>
      <c r="F35" s="49">
        <v>-100</v>
      </c>
      <c r="G35" s="51">
        <v>2</v>
      </c>
      <c r="H35" s="51"/>
      <c r="I35" s="56"/>
      <c r="J35" s="51"/>
      <c r="K35" s="51"/>
      <c r="L35" s="51"/>
      <c r="M35" s="49" t="s">
        <v>301</v>
      </c>
      <c r="N35" s="53">
        <v>45737</v>
      </c>
      <c r="O35" s="51">
        <v>2</v>
      </c>
      <c r="P35" s="51">
        <v>200</v>
      </c>
      <c r="Q35" s="57">
        <v>1</v>
      </c>
      <c r="R35" s="49"/>
      <c r="S35" s="51"/>
      <c r="T35" s="49"/>
    </row>
    <row r="36" spans="1:20" ht="15.75" customHeight="1" x14ac:dyDescent="0.25">
      <c r="A36" s="49" t="s">
        <v>241</v>
      </c>
      <c r="B36" s="53">
        <v>45674</v>
      </c>
      <c r="C36" s="51">
        <v>75</v>
      </c>
      <c r="D36" s="49" t="s">
        <v>191</v>
      </c>
      <c r="E36" s="53">
        <v>45625</v>
      </c>
      <c r="F36" s="49">
        <v>100</v>
      </c>
      <c r="G36" s="51">
        <v>65.5</v>
      </c>
      <c r="H36" s="51"/>
      <c r="I36" s="56" t="s">
        <v>220</v>
      </c>
      <c r="J36" s="51"/>
      <c r="K36" s="51"/>
      <c r="L36" s="51"/>
      <c r="M36" s="49" t="s">
        <v>302</v>
      </c>
      <c r="N36" s="53">
        <v>45737</v>
      </c>
      <c r="O36" s="51">
        <v>72.5</v>
      </c>
      <c r="P36" s="51">
        <v>700</v>
      </c>
      <c r="Q36" s="57">
        <v>0.1</v>
      </c>
      <c r="R36" s="49" t="s">
        <v>192</v>
      </c>
      <c r="S36" s="51"/>
      <c r="T36" s="49"/>
    </row>
    <row r="37" spans="1:20" ht="15.75" customHeight="1" x14ac:dyDescent="0.25">
      <c r="A37" s="49" t="s">
        <v>222</v>
      </c>
      <c r="B37" s="53">
        <v>45737</v>
      </c>
      <c r="C37" s="51">
        <v>72.5</v>
      </c>
      <c r="D37" s="49" t="s">
        <v>191</v>
      </c>
      <c r="E37" s="53">
        <v>45714</v>
      </c>
      <c r="F37" s="49">
        <v>-100</v>
      </c>
      <c r="G37" s="51">
        <v>3.2</v>
      </c>
      <c r="H37" s="51"/>
      <c r="I37" s="56"/>
      <c r="J37" s="51"/>
      <c r="K37" s="51"/>
      <c r="L37" s="51"/>
      <c r="M37" s="49" t="s">
        <v>303</v>
      </c>
      <c r="N37" s="53">
        <v>45737</v>
      </c>
      <c r="O37" s="51">
        <v>3.2</v>
      </c>
      <c r="P37" s="51">
        <v>320</v>
      </c>
      <c r="Q37" s="57">
        <v>1</v>
      </c>
      <c r="R37" s="49"/>
      <c r="S37" s="51"/>
      <c r="T37" s="49"/>
    </row>
    <row r="38" spans="1:20" ht="15.75" customHeight="1" x14ac:dyDescent="0.25">
      <c r="A38" s="49" t="s">
        <v>219</v>
      </c>
      <c r="B38" s="53">
        <v>45828</v>
      </c>
      <c r="C38" s="51">
        <v>48</v>
      </c>
      <c r="D38" s="49" t="s">
        <v>120</v>
      </c>
      <c r="E38" s="53">
        <v>45730</v>
      </c>
      <c r="F38" s="49">
        <v>-100</v>
      </c>
      <c r="G38" s="51">
        <v>12</v>
      </c>
      <c r="H38" s="51"/>
      <c r="I38" s="56"/>
      <c r="J38" s="51"/>
      <c r="K38" s="51"/>
      <c r="L38" s="51"/>
      <c r="M38" s="49" t="s">
        <v>304</v>
      </c>
      <c r="N38" s="53">
        <v>45761</v>
      </c>
      <c r="O38" s="51">
        <v>7.95</v>
      </c>
      <c r="P38" s="51">
        <v>405</v>
      </c>
      <c r="Q38" s="57">
        <v>0.34</v>
      </c>
      <c r="R38" s="49" t="s">
        <v>305</v>
      </c>
      <c r="S38" s="51"/>
      <c r="T38" s="49"/>
    </row>
    <row r="39" spans="1:20" ht="15.75" customHeight="1" x14ac:dyDescent="0.25">
      <c r="A39" s="49" t="s">
        <v>56</v>
      </c>
      <c r="B39" s="53"/>
      <c r="C39" s="51"/>
      <c r="D39" s="49" t="s">
        <v>290</v>
      </c>
      <c r="E39" s="53">
        <v>45667</v>
      </c>
      <c r="F39" s="49">
        <v>100</v>
      </c>
      <c r="G39" s="51">
        <v>36.22</v>
      </c>
      <c r="H39" s="51"/>
      <c r="I39" s="56"/>
      <c r="J39" s="51"/>
      <c r="K39" s="51"/>
      <c r="L39" s="51"/>
      <c r="M39" s="49" t="s">
        <v>306</v>
      </c>
      <c r="N39" s="53">
        <v>45772</v>
      </c>
      <c r="O39" s="51">
        <v>36.5</v>
      </c>
      <c r="P39" s="51">
        <v>28</v>
      </c>
      <c r="Q39" s="57">
        <v>0.01</v>
      </c>
      <c r="R39" s="49"/>
      <c r="S39" s="51"/>
      <c r="T39" s="49"/>
    </row>
    <row r="40" spans="1:20" ht="15.75" customHeight="1" x14ac:dyDescent="0.25">
      <c r="A40" s="49" t="s">
        <v>241</v>
      </c>
      <c r="B40" s="53">
        <v>45828</v>
      </c>
      <c r="C40" s="51">
        <v>72.5</v>
      </c>
      <c r="D40" s="49" t="s">
        <v>191</v>
      </c>
      <c r="E40" s="53">
        <v>45761</v>
      </c>
      <c r="F40" s="49">
        <v>-100</v>
      </c>
      <c r="G40" s="51">
        <v>13.2</v>
      </c>
      <c r="H40" s="51"/>
      <c r="I40" s="56"/>
      <c r="J40" s="51"/>
      <c r="K40" s="51"/>
      <c r="L40" s="51"/>
      <c r="M40" s="49" t="s">
        <v>307</v>
      </c>
      <c r="N40" s="53">
        <v>45779</v>
      </c>
      <c r="O40" s="51">
        <v>5.8</v>
      </c>
      <c r="P40" s="51">
        <v>740</v>
      </c>
      <c r="Q40" s="57">
        <v>0.56000000000000005</v>
      </c>
      <c r="R40" s="49" t="s">
        <v>308</v>
      </c>
      <c r="S40" s="51"/>
      <c r="T40" s="49"/>
    </row>
    <row r="41" spans="1:20" ht="15.75" customHeight="1" x14ac:dyDescent="0.25">
      <c r="A41" s="49" t="s">
        <v>241</v>
      </c>
      <c r="B41" s="53">
        <v>45674</v>
      </c>
      <c r="C41" s="51">
        <v>70</v>
      </c>
      <c r="D41" s="49" t="s">
        <v>200</v>
      </c>
      <c r="E41" s="53">
        <v>45644</v>
      </c>
      <c r="F41" s="49">
        <v>100</v>
      </c>
      <c r="G41" s="51">
        <v>63.3</v>
      </c>
      <c r="H41" s="51"/>
      <c r="I41" s="56" t="s">
        <v>220</v>
      </c>
      <c r="J41" s="51"/>
      <c r="K41" s="51"/>
      <c r="L41" s="51"/>
      <c r="M41" s="49" t="s">
        <v>309</v>
      </c>
      <c r="N41" s="53">
        <v>45784</v>
      </c>
      <c r="O41" s="51">
        <v>68.25</v>
      </c>
      <c r="P41" s="51">
        <v>495</v>
      </c>
      <c r="Q41" s="57">
        <v>7.0000000000000007E-2</v>
      </c>
      <c r="R41" s="49" t="s">
        <v>201</v>
      </c>
      <c r="S41" s="51"/>
      <c r="T41" s="49"/>
    </row>
    <row r="42" spans="1:20" ht="15.75" customHeight="1" x14ac:dyDescent="0.25">
      <c r="A42" s="49" t="s">
        <v>241</v>
      </c>
      <c r="B42" s="53">
        <v>45764</v>
      </c>
      <c r="C42" s="51">
        <v>75</v>
      </c>
      <c r="D42" s="49" t="s">
        <v>200</v>
      </c>
      <c r="E42" s="53">
        <v>45731</v>
      </c>
      <c r="F42" s="49">
        <v>100</v>
      </c>
      <c r="G42" s="51">
        <v>66</v>
      </c>
      <c r="H42" s="51"/>
      <c r="I42" s="56" t="s">
        <v>220</v>
      </c>
      <c r="J42" s="51"/>
      <c r="K42" s="51"/>
      <c r="L42" s="51"/>
      <c r="M42" s="49" t="s">
        <v>309</v>
      </c>
      <c r="N42" s="53">
        <v>45784</v>
      </c>
      <c r="O42" s="51">
        <v>68.25</v>
      </c>
      <c r="P42" s="51">
        <v>225</v>
      </c>
      <c r="Q42" s="57">
        <v>0.03</v>
      </c>
      <c r="R42" s="49" t="s">
        <v>201</v>
      </c>
      <c r="S42" s="51"/>
      <c r="T42" s="49"/>
    </row>
    <row r="43" spans="1:20" ht="15.75" customHeight="1" x14ac:dyDescent="0.25">
      <c r="A43" s="49" t="s">
        <v>310</v>
      </c>
      <c r="B43" s="53">
        <v>45786</v>
      </c>
      <c r="C43" s="51">
        <v>57.5</v>
      </c>
      <c r="D43" s="49" t="s">
        <v>16</v>
      </c>
      <c r="E43" s="53">
        <v>45785</v>
      </c>
      <c r="F43" s="49">
        <v>200</v>
      </c>
      <c r="G43" s="51">
        <v>2.08</v>
      </c>
      <c r="H43" s="51"/>
      <c r="I43" s="56"/>
      <c r="J43" s="51"/>
      <c r="K43" s="51"/>
      <c r="L43" s="51"/>
      <c r="M43" s="49" t="s">
        <v>311</v>
      </c>
      <c r="N43" s="53">
        <v>45785</v>
      </c>
      <c r="O43" s="51">
        <v>3</v>
      </c>
      <c r="P43" s="51">
        <v>184</v>
      </c>
      <c r="Q43" s="57">
        <v>1.44</v>
      </c>
      <c r="R43" s="49" t="s">
        <v>312</v>
      </c>
      <c r="S43" s="51"/>
      <c r="T43" s="49"/>
    </row>
    <row r="44" spans="1:20" ht="15.75" customHeight="1" x14ac:dyDescent="0.25">
      <c r="A44" s="49" t="s">
        <v>56</v>
      </c>
      <c r="B44" s="53"/>
      <c r="C44" s="51"/>
      <c r="D44" s="49" t="s">
        <v>284</v>
      </c>
      <c r="E44" s="53">
        <v>45763</v>
      </c>
      <c r="F44" s="49">
        <v>100</v>
      </c>
      <c r="G44" s="51">
        <v>51.81</v>
      </c>
      <c r="H44" s="51"/>
      <c r="I44" s="56"/>
      <c r="J44" s="51"/>
      <c r="K44" s="51"/>
      <c r="L44" s="51"/>
      <c r="M44" s="49" t="s">
        <v>313</v>
      </c>
      <c r="N44" s="53">
        <v>45800</v>
      </c>
      <c r="O44" s="51">
        <v>50.95</v>
      </c>
      <c r="P44" s="51">
        <v>-86</v>
      </c>
      <c r="Q44" s="57">
        <v>-0.02</v>
      </c>
      <c r="R44" s="49"/>
      <c r="S44" s="51"/>
      <c r="T44" s="49"/>
    </row>
    <row r="45" spans="1:20" ht="15.75" customHeight="1" x14ac:dyDescent="0.25">
      <c r="A45" s="49" t="s">
        <v>314</v>
      </c>
      <c r="B45" s="53">
        <v>45915</v>
      </c>
      <c r="C45" s="51">
        <v>60</v>
      </c>
      <c r="D45" s="49" t="s">
        <v>284</v>
      </c>
      <c r="E45" s="53">
        <v>45763</v>
      </c>
      <c r="F45" s="49">
        <v>-100</v>
      </c>
      <c r="G45" s="51">
        <v>13.2</v>
      </c>
      <c r="H45" s="51"/>
      <c r="I45" s="56"/>
      <c r="J45" s="51"/>
      <c r="K45" s="51"/>
      <c r="L45" s="51"/>
      <c r="M45" s="49" t="s">
        <v>313</v>
      </c>
      <c r="N45" s="53">
        <v>45800</v>
      </c>
      <c r="O45" s="51">
        <v>11.3</v>
      </c>
      <c r="P45" s="51">
        <v>190</v>
      </c>
      <c r="Q45" s="57">
        <v>0.14000000000000001</v>
      </c>
      <c r="R45" s="49"/>
      <c r="S45" s="51"/>
      <c r="T45" s="49"/>
    </row>
    <row r="46" spans="1:20" ht="15.75" customHeight="1" x14ac:dyDescent="0.25">
      <c r="A46" s="49" t="s">
        <v>222</v>
      </c>
      <c r="B46" s="53">
        <v>45793</v>
      </c>
      <c r="C46" s="51">
        <v>60</v>
      </c>
      <c r="D46" s="49" t="s">
        <v>284</v>
      </c>
      <c r="E46" s="53">
        <v>45770</v>
      </c>
      <c r="F46" s="49">
        <v>-100</v>
      </c>
      <c r="G46" s="51">
        <v>3.1</v>
      </c>
      <c r="H46" s="51"/>
      <c r="I46" s="56"/>
      <c r="J46" s="51"/>
      <c r="K46" s="51"/>
      <c r="L46" s="51"/>
      <c r="M46" s="49" t="s">
        <v>315</v>
      </c>
      <c r="N46" s="53">
        <v>45794</v>
      </c>
      <c r="O46" s="51">
        <v>310</v>
      </c>
      <c r="P46" s="51">
        <v>310</v>
      </c>
      <c r="Q46" s="57">
        <v>1</v>
      </c>
      <c r="R46" s="49"/>
      <c r="S46" s="51"/>
      <c r="T46" s="49"/>
    </row>
    <row r="47" spans="1:20" ht="15.75" customHeight="1" x14ac:dyDescent="0.25">
      <c r="A47" s="49" t="s">
        <v>219</v>
      </c>
      <c r="B47" s="53">
        <v>45757</v>
      </c>
      <c r="C47" s="51">
        <v>48</v>
      </c>
      <c r="D47" s="49" t="s">
        <v>316</v>
      </c>
      <c r="E47" s="53">
        <v>45858</v>
      </c>
      <c r="F47" s="49">
        <v>-100</v>
      </c>
      <c r="G47" s="51">
        <v>9.1999999999999993</v>
      </c>
      <c r="H47" s="51"/>
      <c r="I47" s="56"/>
      <c r="J47" s="51"/>
      <c r="K47" s="51"/>
      <c r="L47" s="51"/>
      <c r="M47" s="49" t="s">
        <v>317</v>
      </c>
      <c r="N47" s="53">
        <v>45806</v>
      </c>
      <c r="O47" s="51">
        <v>4.7</v>
      </c>
      <c r="P47" s="51">
        <v>450</v>
      </c>
      <c r="Q47" s="57">
        <v>0.49</v>
      </c>
      <c r="R47" s="49"/>
      <c r="S47" s="51"/>
      <c r="T47" s="49"/>
    </row>
    <row r="48" spans="1:20" ht="15.75" customHeight="1" x14ac:dyDescent="0.25">
      <c r="A48" s="49" t="s">
        <v>314</v>
      </c>
      <c r="B48" s="53">
        <v>45828</v>
      </c>
      <c r="C48" s="51">
        <v>125</v>
      </c>
      <c r="D48" s="49" t="s">
        <v>318</v>
      </c>
      <c r="E48" s="53">
        <v>45807</v>
      </c>
      <c r="F48" s="49">
        <v>-100</v>
      </c>
      <c r="G48" s="51">
        <v>15.6</v>
      </c>
      <c r="H48" s="51"/>
      <c r="I48" s="56"/>
      <c r="J48" s="51"/>
      <c r="K48" s="51"/>
      <c r="L48" s="51"/>
      <c r="M48" s="49"/>
      <c r="N48" s="53">
        <v>45817</v>
      </c>
      <c r="O48" s="51">
        <v>6</v>
      </c>
      <c r="P48" s="51">
        <v>960</v>
      </c>
      <c r="Q48" s="57">
        <v>0.62</v>
      </c>
      <c r="R48" s="49" t="s">
        <v>319</v>
      </c>
      <c r="S48" s="51"/>
      <c r="T48" s="49"/>
    </row>
    <row r="49" spans="1:20" ht="15.75" customHeight="1" x14ac:dyDescent="0.25">
      <c r="A49" s="49" t="s">
        <v>219</v>
      </c>
      <c r="B49" s="53">
        <v>45737</v>
      </c>
      <c r="C49" s="51">
        <v>36</v>
      </c>
      <c r="D49" s="49" t="s">
        <v>193</v>
      </c>
      <c r="E49" s="53">
        <v>45707</v>
      </c>
      <c r="F49" s="49">
        <v>-100</v>
      </c>
      <c r="G49" s="51">
        <v>5.7</v>
      </c>
      <c r="H49" s="51"/>
      <c r="I49" s="56" t="s">
        <v>220</v>
      </c>
      <c r="J49" s="51"/>
      <c r="K49" s="51"/>
      <c r="L49" s="51"/>
      <c r="M49" s="49" t="s">
        <v>221</v>
      </c>
      <c r="N49" s="53">
        <v>45817</v>
      </c>
      <c r="O49" s="51">
        <v>32.5</v>
      </c>
      <c r="P49" s="51">
        <v>3250</v>
      </c>
      <c r="Q49" s="57">
        <v>0.82</v>
      </c>
      <c r="R49" s="49" t="s">
        <v>319</v>
      </c>
      <c r="S49" s="51"/>
      <c r="T49" s="49"/>
    </row>
    <row r="50" spans="1:20" ht="15.75" customHeight="1" x14ac:dyDescent="0.25">
      <c r="A50" s="49" t="s">
        <v>219</v>
      </c>
      <c r="B50" s="53">
        <v>45737</v>
      </c>
      <c r="C50" s="51">
        <v>35</v>
      </c>
      <c r="D50" s="49" t="s">
        <v>193</v>
      </c>
      <c r="E50" s="53">
        <v>45708</v>
      </c>
      <c r="F50" s="49">
        <v>-100</v>
      </c>
      <c r="G50" s="51">
        <v>7</v>
      </c>
      <c r="H50" s="51"/>
      <c r="I50" s="56" t="s">
        <v>220</v>
      </c>
      <c r="J50" s="51"/>
      <c r="K50" s="51"/>
      <c r="L50" s="51"/>
      <c r="M50" s="49" t="s">
        <v>320</v>
      </c>
      <c r="N50" s="53">
        <v>45817</v>
      </c>
      <c r="O50" s="51">
        <v>32.5</v>
      </c>
      <c r="P50" s="51">
        <v>450</v>
      </c>
      <c r="Q50" s="57">
        <v>0.78</v>
      </c>
      <c r="R50" s="49" t="s">
        <v>319</v>
      </c>
      <c r="S50" s="51"/>
      <c r="T50" s="49"/>
    </row>
    <row r="51" spans="1:20" ht="15.75" customHeight="1" x14ac:dyDescent="0.25">
      <c r="A51" s="49" t="s">
        <v>314</v>
      </c>
      <c r="B51" s="53">
        <v>45856</v>
      </c>
      <c r="C51" s="51">
        <v>30</v>
      </c>
      <c r="D51" s="49" t="s">
        <v>321</v>
      </c>
      <c r="E51" s="53">
        <v>45784</v>
      </c>
      <c r="F51" s="49">
        <v>-200</v>
      </c>
      <c r="G51" s="51">
        <v>13.2</v>
      </c>
      <c r="H51" s="51"/>
      <c r="I51" s="56"/>
      <c r="J51" s="51"/>
      <c r="K51" s="51"/>
      <c r="L51" s="51"/>
      <c r="M51" s="49"/>
      <c r="N51" s="53">
        <v>45819</v>
      </c>
      <c r="O51" s="51">
        <v>6</v>
      </c>
      <c r="P51" s="51">
        <v>1440</v>
      </c>
      <c r="Q51" s="57">
        <v>0.45</v>
      </c>
      <c r="R51" s="49" t="s">
        <v>319</v>
      </c>
      <c r="S51" s="51"/>
      <c r="T51" s="49"/>
    </row>
    <row r="52" spans="1:20" ht="15.75" customHeight="1" x14ac:dyDescent="0.25">
      <c r="A52" s="49" t="s">
        <v>56</v>
      </c>
      <c r="B52" s="53" t="s">
        <v>319</v>
      </c>
      <c r="C52" s="51" t="s">
        <v>319</v>
      </c>
      <c r="D52" s="49" t="s">
        <v>321</v>
      </c>
      <c r="E52" s="53">
        <v>45784</v>
      </c>
      <c r="F52" s="49">
        <v>200</v>
      </c>
      <c r="G52" s="51">
        <v>23.3</v>
      </c>
      <c r="H52" s="51"/>
      <c r="I52" s="56"/>
      <c r="J52" s="51"/>
      <c r="K52" s="51"/>
      <c r="L52" s="51"/>
      <c r="M52" s="49"/>
      <c r="N52" s="53">
        <v>45819</v>
      </c>
      <c r="O52" s="51">
        <v>24.65</v>
      </c>
      <c r="P52" s="51">
        <v>105</v>
      </c>
      <c r="Q52" s="57">
        <v>0.01</v>
      </c>
      <c r="R52" s="49" t="s">
        <v>319</v>
      </c>
      <c r="S52" s="51"/>
      <c r="T52" s="49"/>
    </row>
    <row r="53" spans="1:20" ht="15.75" customHeight="1" x14ac:dyDescent="0.25">
      <c r="A53" s="49" t="s">
        <v>322</v>
      </c>
      <c r="B53" s="53">
        <v>45856</v>
      </c>
      <c r="C53" s="51">
        <v>20</v>
      </c>
      <c r="D53" s="49" t="s">
        <v>321</v>
      </c>
      <c r="E53" s="53">
        <v>45784</v>
      </c>
      <c r="F53" s="49">
        <v>200</v>
      </c>
      <c r="G53" s="51">
        <v>1.25</v>
      </c>
      <c r="H53" s="51"/>
      <c r="I53" s="56"/>
      <c r="J53" s="51"/>
      <c r="K53" s="51"/>
      <c r="L53" s="51"/>
      <c r="M53" s="49"/>
      <c r="N53" s="53">
        <v>45819</v>
      </c>
      <c r="O53" s="51">
        <v>0.4</v>
      </c>
      <c r="P53" s="51">
        <v>-170</v>
      </c>
      <c r="Q53" s="57">
        <v>-0.68</v>
      </c>
      <c r="R53" s="49"/>
      <c r="S53" s="51"/>
      <c r="T53" s="49"/>
    </row>
    <row r="54" spans="1:20" ht="15.75" customHeight="1" x14ac:dyDescent="0.25">
      <c r="A54" s="49" t="s">
        <v>56</v>
      </c>
      <c r="B54" s="53" t="s">
        <v>319</v>
      </c>
      <c r="C54" s="51" t="s">
        <v>319</v>
      </c>
      <c r="D54" s="49" t="s">
        <v>193</v>
      </c>
      <c r="E54" s="53">
        <v>45707</v>
      </c>
      <c r="F54" s="49">
        <v>100</v>
      </c>
      <c r="G54" s="51">
        <v>31.45</v>
      </c>
      <c r="H54" s="51"/>
      <c r="I54" s="56"/>
      <c r="J54" s="51"/>
      <c r="K54" s="51"/>
      <c r="L54" s="51"/>
      <c r="M54" s="49"/>
      <c r="N54" s="53">
        <v>45817</v>
      </c>
      <c r="O54" s="51">
        <v>32.5</v>
      </c>
      <c r="P54" s="51">
        <v>105</v>
      </c>
      <c r="Q54" s="57">
        <v>0.01</v>
      </c>
      <c r="R54" s="49" t="s">
        <v>319</v>
      </c>
      <c r="S54" s="51"/>
      <c r="T54" s="49"/>
    </row>
    <row r="55" spans="1:20" ht="15.75" customHeight="1" x14ac:dyDescent="0.25">
      <c r="A55" s="49" t="s">
        <v>56</v>
      </c>
      <c r="B55" s="53" t="s">
        <v>319</v>
      </c>
      <c r="C55" s="51" t="s">
        <v>319</v>
      </c>
      <c r="D55" s="49" t="s">
        <v>193</v>
      </c>
      <c r="E55" s="53">
        <v>45708</v>
      </c>
      <c r="F55" s="49">
        <v>100</v>
      </c>
      <c r="G55" s="51">
        <v>28.5</v>
      </c>
      <c r="H55" s="51"/>
      <c r="I55" s="56"/>
      <c r="J55" s="51"/>
      <c r="K55" s="51"/>
      <c r="L55" s="51"/>
      <c r="M55" s="49"/>
      <c r="N55" s="53">
        <v>45817</v>
      </c>
      <c r="O55" s="51">
        <v>32.5</v>
      </c>
      <c r="P55" s="51">
        <v>400</v>
      </c>
      <c r="Q55" s="57">
        <v>0.01</v>
      </c>
      <c r="R55" s="49" t="s">
        <v>319</v>
      </c>
      <c r="S55" s="51"/>
      <c r="T55" s="49"/>
    </row>
    <row r="56" spans="1:20" ht="15.75" customHeight="1" x14ac:dyDescent="0.25">
      <c r="A56" s="49" t="s">
        <v>241</v>
      </c>
      <c r="B56" s="53">
        <v>45737</v>
      </c>
      <c r="C56" s="51">
        <v>69</v>
      </c>
      <c r="D56" s="49" t="s">
        <v>323</v>
      </c>
      <c r="E56" s="53">
        <v>45712</v>
      </c>
      <c r="F56" s="49">
        <v>-100</v>
      </c>
      <c r="G56" s="51">
        <v>9.1</v>
      </c>
      <c r="H56" s="51"/>
      <c r="I56" s="56" t="s">
        <v>220</v>
      </c>
      <c r="J56" s="51"/>
      <c r="K56" s="51"/>
      <c r="L56" s="51"/>
      <c r="M56" s="49" t="s">
        <v>221</v>
      </c>
      <c r="N56" s="53">
        <v>45828</v>
      </c>
      <c r="O56" s="51">
        <v>68.27</v>
      </c>
      <c r="P56" s="51">
        <v>837</v>
      </c>
      <c r="Q56" s="57">
        <v>0.87</v>
      </c>
      <c r="R56" s="49" t="s">
        <v>324</v>
      </c>
      <c r="S56" s="51"/>
      <c r="T56" s="49"/>
    </row>
    <row r="57" spans="1:20" ht="15.75" customHeight="1" x14ac:dyDescent="0.25">
      <c r="A57" s="49" t="s">
        <v>222</v>
      </c>
      <c r="B57" s="53">
        <v>45828</v>
      </c>
      <c r="C57" s="51">
        <v>43</v>
      </c>
      <c r="D57" s="49" t="s">
        <v>171</v>
      </c>
      <c r="E57" s="53">
        <v>45814</v>
      </c>
      <c r="F57" s="49">
        <v>-200</v>
      </c>
      <c r="G57" s="51">
        <v>1</v>
      </c>
      <c r="H57" s="51"/>
      <c r="I57" s="56" t="s">
        <v>232</v>
      </c>
      <c r="J57" s="51"/>
      <c r="K57" s="51"/>
      <c r="L57" s="51"/>
      <c r="M57" s="49" t="s">
        <v>325</v>
      </c>
      <c r="N57" s="53">
        <v>45829</v>
      </c>
      <c r="O57" s="51">
        <v>1</v>
      </c>
      <c r="P57" s="51">
        <v>200</v>
      </c>
      <c r="Q57" s="57">
        <v>1</v>
      </c>
      <c r="R57" s="49"/>
      <c r="S57" s="51"/>
      <c r="T57" s="49"/>
    </row>
    <row r="58" spans="1:20" ht="15.75" customHeight="1" x14ac:dyDescent="0.25">
      <c r="A58" s="49" t="s">
        <v>219</v>
      </c>
      <c r="B58" s="53">
        <v>45856</v>
      </c>
      <c r="C58" s="51">
        <v>36</v>
      </c>
      <c r="D58" s="49" t="s">
        <v>193</v>
      </c>
      <c r="E58" s="53">
        <v>45819</v>
      </c>
      <c r="F58" s="49">
        <v>-200</v>
      </c>
      <c r="G58" s="51">
        <v>7.5</v>
      </c>
      <c r="H58" s="51"/>
      <c r="I58" s="56"/>
      <c r="J58" s="51"/>
      <c r="K58" s="51"/>
      <c r="L58" s="51"/>
      <c r="M58" s="49"/>
      <c r="N58" s="53">
        <v>45833</v>
      </c>
      <c r="O58" s="51">
        <v>3.3</v>
      </c>
      <c r="P58" s="51">
        <v>840</v>
      </c>
      <c r="Q58" s="57">
        <v>0.44</v>
      </c>
      <c r="R58" s="49"/>
      <c r="S58" s="51"/>
      <c r="T58" s="49"/>
    </row>
    <row r="59" spans="1:20" ht="15.75" customHeight="1" x14ac:dyDescent="0.25">
      <c r="A59" s="49" t="s">
        <v>219</v>
      </c>
      <c r="B59" s="53">
        <v>45856</v>
      </c>
      <c r="C59" s="51">
        <v>80</v>
      </c>
      <c r="D59" s="49" t="s">
        <v>120</v>
      </c>
      <c r="E59" s="53">
        <v>45826</v>
      </c>
      <c r="F59" s="49">
        <v>-100</v>
      </c>
      <c r="G59" s="51">
        <v>6.85</v>
      </c>
      <c r="H59" s="51"/>
      <c r="I59" s="56"/>
      <c r="J59" s="51"/>
      <c r="K59" s="51"/>
      <c r="L59" s="51"/>
      <c r="M59" s="49"/>
      <c r="N59" s="53">
        <v>45833</v>
      </c>
      <c r="O59" s="51">
        <v>3.5</v>
      </c>
      <c r="P59" s="51">
        <v>335</v>
      </c>
      <c r="Q59" s="57">
        <v>0.51</v>
      </c>
      <c r="R59" s="49"/>
      <c r="S59" s="51"/>
      <c r="T59" s="49"/>
    </row>
    <row r="60" spans="1:20" ht="15.75" customHeight="1" x14ac:dyDescent="0.25">
      <c r="A60" s="49" t="s">
        <v>222</v>
      </c>
      <c r="B60" s="53">
        <v>45856</v>
      </c>
      <c r="C60" s="51">
        <v>60</v>
      </c>
      <c r="D60" s="49" t="s">
        <v>326</v>
      </c>
      <c r="E60" s="53">
        <v>45832</v>
      </c>
      <c r="F60" s="49">
        <v>-100</v>
      </c>
      <c r="G60" s="51">
        <v>2.2999999999999998</v>
      </c>
      <c r="H60" s="51"/>
      <c r="I60" s="56"/>
      <c r="J60" s="51"/>
      <c r="K60" s="51"/>
      <c r="L60" s="51"/>
      <c r="M60" s="49"/>
      <c r="N60" s="53">
        <v>45847</v>
      </c>
      <c r="O60" s="51">
        <v>0.05</v>
      </c>
      <c r="P60" s="51">
        <v>225</v>
      </c>
      <c r="Q60" s="57">
        <v>0.98</v>
      </c>
      <c r="R60" s="49" t="s">
        <v>327</v>
      </c>
      <c r="S60" s="51"/>
      <c r="T60" s="49"/>
    </row>
    <row r="61" spans="1:20" ht="15.75" customHeight="1" x14ac:dyDescent="0.25">
      <c r="A61" s="49" t="s">
        <v>222</v>
      </c>
      <c r="B61" s="53">
        <v>45856</v>
      </c>
      <c r="C61" s="51">
        <v>65</v>
      </c>
      <c r="D61" s="49" t="s">
        <v>106</v>
      </c>
      <c r="E61" s="53">
        <v>45833</v>
      </c>
      <c r="F61" s="49">
        <v>-300</v>
      </c>
      <c r="G61" s="51">
        <v>3</v>
      </c>
      <c r="H61" s="51"/>
      <c r="I61" s="56" t="s">
        <v>232</v>
      </c>
      <c r="J61" s="51"/>
      <c r="K61" s="51"/>
      <c r="L61" s="51"/>
      <c r="M61" s="49" t="s">
        <v>328</v>
      </c>
      <c r="N61" s="53">
        <v>45856</v>
      </c>
      <c r="O61" s="51">
        <v>3</v>
      </c>
      <c r="P61" s="51">
        <v>900</v>
      </c>
      <c r="Q61" s="57">
        <v>1</v>
      </c>
      <c r="R61" s="49"/>
      <c r="S61" s="51"/>
      <c r="T61" s="49"/>
    </row>
    <row r="62" spans="1:20" ht="15.75" customHeight="1" x14ac:dyDescent="0.25">
      <c r="A62" s="49" t="s">
        <v>56</v>
      </c>
      <c r="B62" s="53"/>
      <c r="C62" s="51"/>
      <c r="D62" s="49" t="s">
        <v>106</v>
      </c>
      <c r="E62" s="53">
        <v>45609</v>
      </c>
      <c r="F62" s="49">
        <v>100</v>
      </c>
      <c r="G62" s="51">
        <v>83.2</v>
      </c>
      <c r="H62" s="51"/>
      <c r="I62" s="56"/>
      <c r="J62" s="51"/>
      <c r="K62" s="51"/>
      <c r="L62" s="51"/>
      <c r="M62" s="49" t="s">
        <v>329</v>
      </c>
      <c r="N62" s="53">
        <v>45856</v>
      </c>
      <c r="O62" s="51">
        <v>65</v>
      </c>
      <c r="P62" s="51">
        <v>-1820</v>
      </c>
      <c r="Q62" s="57">
        <v>-0.22</v>
      </c>
      <c r="R62" s="49"/>
      <c r="S62" s="51"/>
      <c r="T62" s="49"/>
    </row>
    <row r="63" spans="1:20" ht="15.75" customHeight="1" x14ac:dyDescent="0.25">
      <c r="A63" s="49" t="s">
        <v>219</v>
      </c>
      <c r="B63" s="53">
        <v>45764</v>
      </c>
      <c r="C63" s="51">
        <v>66</v>
      </c>
      <c r="D63" s="49" t="s">
        <v>106</v>
      </c>
      <c r="E63" s="53">
        <v>45712</v>
      </c>
      <c r="F63" s="49">
        <v>-100</v>
      </c>
      <c r="G63" s="51">
        <v>14</v>
      </c>
      <c r="H63" s="51"/>
      <c r="I63" s="56" t="s">
        <v>232</v>
      </c>
      <c r="J63" s="51"/>
      <c r="K63" s="51"/>
      <c r="L63" s="51"/>
      <c r="M63" s="49" t="s">
        <v>330</v>
      </c>
      <c r="N63" s="53">
        <v>45856</v>
      </c>
      <c r="O63" s="51">
        <v>65</v>
      </c>
      <c r="P63" s="51">
        <v>1300</v>
      </c>
      <c r="Q63" s="57">
        <v>0.26</v>
      </c>
      <c r="R63" s="49" t="s">
        <v>331</v>
      </c>
      <c r="S63" s="51"/>
      <c r="T63" s="49"/>
    </row>
    <row r="64" spans="1:20" ht="15.75" customHeight="1" x14ac:dyDescent="0.25">
      <c r="A64" s="49" t="s">
        <v>219</v>
      </c>
      <c r="B64" s="53">
        <v>45737</v>
      </c>
      <c r="C64" s="51">
        <v>66</v>
      </c>
      <c r="D64" s="49" t="s">
        <v>106</v>
      </c>
      <c r="E64" s="53">
        <v>45684</v>
      </c>
      <c r="F64" s="49">
        <v>-100</v>
      </c>
      <c r="G64" s="51">
        <v>16.8</v>
      </c>
      <c r="H64" s="51"/>
      <c r="I64" s="56" t="s">
        <v>232</v>
      </c>
      <c r="J64" s="51"/>
      <c r="K64" s="51"/>
      <c r="L64" s="51"/>
      <c r="M64" s="49" t="s">
        <v>332</v>
      </c>
      <c r="N64" s="53">
        <v>45856</v>
      </c>
      <c r="O64" s="51">
        <v>65</v>
      </c>
      <c r="P64" s="51">
        <v>1580</v>
      </c>
      <c r="Q64" s="57">
        <v>0.76</v>
      </c>
      <c r="R64" s="49" t="s">
        <v>333</v>
      </c>
      <c r="S64" s="51"/>
      <c r="T64" s="49"/>
    </row>
    <row r="65" spans="1:20" ht="15.75" customHeight="1" x14ac:dyDescent="0.25">
      <c r="A65" s="49" t="s">
        <v>322</v>
      </c>
      <c r="B65" s="53">
        <v>45863</v>
      </c>
      <c r="C65" s="51">
        <v>30</v>
      </c>
      <c r="D65" s="49" t="s">
        <v>316</v>
      </c>
      <c r="E65" s="53">
        <v>45757</v>
      </c>
      <c r="F65" s="49">
        <v>100</v>
      </c>
      <c r="G65" s="51">
        <v>0.89</v>
      </c>
      <c r="H65" s="51"/>
      <c r="I65" s="56"/>
      <c r="J65" s="51"/>
      <c r="K65" s="51"/>
      <c r="L65" s="51"/>
      <c r="M65" s="49" t="s">
        <v>334</v>
      </c>
      <c r="N65" s="53">
        <v>45856</v>
      </c>
      <c r="O65" s="51">
        <v>0</v>
      </c>
      <c r="P65" s="51">
        <v>-89</v>
      </c>
      <c r="Q65" s="57">
        <v>-1</v>
      </c>
      <c r="R65" s="49" t="s">
        <v>335</v>
      </c>
      <c r="S65" s="51"/>
      <c r="T65" s="49"/>
    </row>
    <row r="66" spans="1:20" ht="15.75" customHeight="1" x14ac:dyDescent="0.25">
      <c r="A66" s="49" t="s">
        <v>222</v>
      </c>
      <c r="B66" s="53">
        <v>45856</v>
      </c>
      <c r="C66" s="51">
        <v>47</v>
      </c>
      <c r="D66" s="49" t="s">
        <v>171</v>
      </c>
      <c r="E66" s="53">
        <v>45838</v>
      </c>
      <c r="F66" s="49">
        <v>-200</v>
      </c>
      <c r="G66" s="51">
        <v>2</v>
      </c>
      <c r="H66" s="51"/>
      <c r="I66" s="56"/>
      <c r="J66" s="51"/>
      <c r="K66" s="51"/>
      <c r="L66" s="51"/>
      <c r="M66" s="49" t="s">
        <v>336</v>
      </c>
      <c r="N66" s="53">
        <v>45856</v>
      </c>
      <c r="O66" s="51">
        <v>0</v>
      </c>
      <c r="P66" s="51">
        <v>400</v>
      </c>
      <c r="Q66" s="57">
        <v>1</v>
      </c>
      <c r="R66" s="49"/>
      <c r="S66" s="51"/>
      <c r="T66" s="49"/>
    </row>
    <row r="67" spans="1:20" ht="15.75" customHeight="1" x14ac:dyDescent="0.25">
      <c r="A67" s="49" t="s">
        <v>56</v>
      </c>
      <c r="B67" s="53"/>
      <c r="C67" s="51"/>
      <c r="D67" s="49" t="s">
        <v>120</v>
      </c>
      <c r="E67" s="53">
        <v>45828</v>
      </c>
      <c r="F67" s="49">
        <v>100</v>
      </c>
      <c r="G67" s="51">
        <v>76.5</v>
      </c>
      <c r="H67" s="51"/>
      <c r="I67" s="56"/>
      <c r="J67" s="51"/>
      <c r="K67" s="51"/>
      <c r="L67" s="51"/>
      <c r="M67" s="49" t="s">
        <v>337</v>
      </c>
      <c r="N67" s="53">
        <v>45857</v>
      </c>
      <c r="O67" s="51">
        <v>85</v>
      </c>
      <c r="P67" s="51">
        <v>850</v>
      </c>
      <c r="Q67" s="57">
        <v>0.11</v>
      </c>
      <c r="R67" s="49"/>
      <c r="S67" s="51"/>
      <c r="T67" s="49"/>
    </row>
    <row r="68" spans="1:20" ht="15.75" customHeight="1" x14ac:dyDescent="0.25">
      <c r="A68" s="49" t="s">
        <v>222</v>
      </c>
      <c r="B68" s="53">
        <v>45856</v>
      </c>
      <c r="C68" s="51">
        <v>85</v>
      </c>
      <c r="D68" s="49" t="s">
        <v>120</v>
      </c>
      <c r="E68" s="53">
        <v>45828</v>
      </c>
      <c r="F68" s="49">
        <v>-100</v>
      </c>
      <c r="G68" s="51">
        <v>3.1</v>
      </c>
      <c r="H68" s="51"/>
      <c r="I68" s="56"/>
      <c r="J68" s="51"/>
      <c r="K68" s="51"/>
      <c r="L68" s="51"/>
      <c r="M68" s="49" t="s">
        <v>338</v>
      </c>
      <c r="N68" s="53">
        <v>45856</v>
      </c>
      <c r="O68" s="51">
        <v>0</v>
      </c>
      <c r="P68" s="51">
        <v>310</v>
      </c>
      <c r="Q68" s="57">
        <v>1</v>
      </c>
      <c r="R68" s="49"/>
      <c r="S68" s="51"/>
      <c r="T68" s="49"/>
    </row>
    <row r="69" spans="1:20" ht="15.75" customHeight="1" x14ac:dyDescent="0.25">
      <c r="A69" s="49" t="s">
        <v>219</v>
      </c>
      <c r="B69" s="53">
        <v>45856</v>
      </c>
      <c r="C69" s="51">
        <v>52</v>
      </c>
      <c r="D69" s="49" t="s">
        <v>253</v>
      </c>
      <c r="E69" s="53">
        <v>45833</v>
      </c>
      <c r="F69" s="49">
        <v>-200</v>
      </c>
      <c r="G69" s="51">
        <v>7.7</v>
      </c>
      <c r="H69" s="51"/>
      <c r="I69" s="56"/>
      <c r="J69" s="51"/>
      <c r="K69" s="51"/>
      <c r="L69" s="51"/>
      <c r="M69" s="49"/>
      <c r="N69" s="53">
        <v>45847</v>
      </c>
      <c r="O69" s="51">
        <v>3.5</v>
      </c>
      <c r="P69" s="51">
        <v>840</v>
      </c>
      <c r="Q69" s="57">
        <v>0.55000000000000004</v>
      </c>
      <c r="R69" s="49"/>
      <c r="S69" s="51"/>
      <c r="T69" s="49"/>
    </row>
    <row r="70" spans="1:20" ht="15.75" customHeight="1" x14ac:dyDescent="0.25">
      <c r="A70" s="49" t="s">
        <v>222</v>
      </c>
      <c r="B70" s="53">
        <v>45869</v>
      </c>
      <c r="C70" s="51">
        <v>50</v>
      </c>
      <c r="D70" s="49" t="s">
        <v>171</v>
      </c>
      <c r="E70" s="53">
        <v>45869</v>
      </c>
      <c r="F70" s="49">
        <v>-200</v>
      </c>
      <c r="G70" s="51">
        <v>2.0499999999999998</v>
      </c>
      <c r="H70" s="51"/>
      <c r="I70" s="56"/>
      <c r="J70" s="51"/>
      <c r="K70" s="51"/>
      <c r="L70" s="51"/>
      <c r="M70" s="49"/>
      <c r="N70" s="53">
        <v>45869</v>
      </c>
      <c r="O70" s="51">
        <v>2.4</v>
      </c>
      <c r="P70" s="51">
        <v>-70</v>
      </c>
      <c r="Q70" s="57">
        <v>-0.15</v>
      </c>
      <c r="R70" s="49"/>
      <c r="S70" s="51"/>
      <c r="T70" s="49"/>
    </row>
    <row r="71" spans="1:20" ht="15.75" customHeight="1" x14ac:dyDescent="0.25">
      <c r="A71" s="49" t="s">
        <v>56</v>
      </c>
      <c r="B71" s="53"/>
      <c r="C71" s="51"/>
      <c r="D71" s="49" t="s">
        <v>171</v>
      </c>
      <c r="E71" s="53">
        <v>45714</v>
      </c>
      <c r="F71" s="49">
        <v>100</v>
      </c>
      <c r="G71" s="51">
        <v>43.4</v>
      </c>
      <c r="H71" s="51"/>
      <c r="I71" s="56"/>
      <c r="J71" s="51"/>
      <c r="K71" s="51"/>
      <c r="L71" s="51"/>
      <c r="M71" s="49"/>
      <c r="N71" s="53">
        <v>45869</v>
      </c>
      <c r="O71" s="51">
        <v>49.88</v>
      </c>
      <c r="P71" s="51">
        <v>647.5</v>
      </c>
      <c r="Q71" s="57">
        <v>0.15</v>
      </c>
      <c r="R71" s="49"/>
      <c r="S71" s="51"/>
      <c r="T71" s="54"/>
    </row>
    <row r="72" spans="1:20" ht="15.75" customHeight="1" x14ac:dyDescent="0.25">
      <c r="A72" s="49" t="s">
        <v>219</v>
      </c>
      <c r="B72" s="50" t="s">
        <v>339</v>
      </c>
      <c r="C72" s="51">
        <v>51</v>
      </c>
      <c r="D72" s="49" t="s">
        <v>171</v>
      </c>
      <c r="E72" s="50" t="s">
        <v>340</v>
      </c>
      <c r="F72" s="52">
        <v>-100</v>
      </c>
      <c r="G72" s="51">
        <v>9.3000000000000007</v>
      </c>
      <c r="H72" s="51"/>
      <c r="I72" s="56" t="s">
        <v>232</v>
      </c>
      <c r="J72" s="49"/>
      <c r="K72" s="51"/>
      <c r="L72" s="51"/>
      <c r="M72" s="49" t="s">
        <v>341</v>
      </c>
      <c r="N72" s="50" t="s">
        <v>342</v>
      </c>
      <c r="O72" s="51">
        <v>49.875</v>
      </c>
      <c r="P72" s="51">
        <v>818</v>
      </c>
      <c r="Q72" s="55">
        <v>0.2</v>
      </c>
      <c r="R72" s="49"/>
      <c r="S72" s="49"/>
      <c r="T72" s="49"/>
    </row>
    <row r="73" spans="1:20" ht="15.75" customHeight="1" x14ac:dyDescent="0.25">
      <c r="A73" s="63" t="s">
        <v>222</v>
      </c>
      <c r="B73" s="64" t="s">
        <v>343</v>
      </c>
      <c r="C73" s="65">
        <v>58</v>
      </c>
      <c r="D73" s="63" t="s">
        <v>253</v>
      </c>
      <c r="E73" s="64" t="s">
        <v>344</v>
      </c>
      <c r="F73" s="66">
        <v>-200</v>
      </c>
      <c r="G73" s="65">
        <v>3.2</v>
      </c>
      <c r="H73" s="67"/>
      <c r="I73" s="63"/>
      <c r="J73" s="68"/>
      <c r="K73" s="67"/>
      <c r="L73" s="67"/>
      <c r="M73" s="63" t="s">
        <v>345</v>
      </c>
      <c r="N73" s="67" t="s">
        <v>346</v>
      </c>
      <c r="O73" s="65">
        <v>0.1</v>
      </c>
      <c r="P73" s="65">
        <v>620</v>
      </c>
      <c r="Q73" s="69">
        <v>0.97</v>
      </c>
      <c r="R73" s="63"/>
      <c r="S73" s="65"/>
      <c r="T73" s="65"/>
    </row>
    <row r="74" spans="1:20" ht="15.75" customHeight="1" x14ac:dyDescent="0.25">
      <c r="A74" s="49" t="s">
        <v>347</v>
      </c>
      <c r="B74" s="50" t="s">
        <v>343</v>
      </c>
      <c r="C74" s="73">
        <v>45</v>
      </c>
      <c r="D74" s="49" t="s">
        <v>284</v>
      </c>
      <c r="E74" s="50" t="s">
        <v>348</v>
      </c>
      <c r="F74" s="74">
        <v>100</v>
      </c>
      <c r="G74" s="73">
        <v>5.45</v>
      </c>
      <c r="H74" s="73"/>
      <c r="I74" s="71"/>
      <c r="J74" s="51"/>
      <c r="K74" s="73"/>
      <c r="L74" s="51"/>
      <c r="M74" s="49"/>
      <c r="N74" s="75" t="s">
        <v>349</v>
      </c>
      <c r="O74" s="51">
        <v>0</v>
      </c>
      <c r="P74" s="51">
        <v>-545</v>
      </c>
      <c r="Q74" s="55">
        <v>-1</v>
      </c>
      <c r="R74" s="49"/>
      <c r="S74" s="73"/>
      <c r="T74" s="72"/>
    </row>
    <row r="75" spans="1:20" ht="15.75" customHeight="1" x14ac:dyDescent="0.25">
      <c r="A75" s="63" t="s">
        <v>56</v>
      </c>
      <c r="B75" s="67"/>
      <c r="C75" s="67"/>
      <c r="D75" s="63" t="s">
        <v>350</v>
      </c>
      <c r="E75" s="64" t="s">
        <v>351</v>
      </c>
      <c r="F75" s="66">
        <v>100</v>
      </c>
      <c r="G75" s="65">
        <v>70</v>
      </c>
      <c r="H75" s="65"/>
      <c r="I75" s="63"/>
      <c r="J75" s="67"/>
      <c r="K75" s="67"/>
      <c r="L75" s="67"/>
      <c r="M75" s="63"/>
      <c r="N75" s="67" t="s">
        <v>352</v>
      </c>
      <c r="O75" s="65">
        <v>78.39</v>
      </c>
      <c r="P75" s="65">
        <v>839</v>
      </c>
      <c r="Q75" s="69">
        <v>0.12</v>
      </c>
      <c r="R75" s="63" t="s">
        <v>353</v>
      </c>
      <c r="S75" s="65"/>
      <c r="T75" s="65"/>
    </row>
    <row r="76" spans="1:20" ht="15.75" customHeight="1" x14ac:dyDescent="0.25">
      <c r="A76" s="63" t="s">
        <v>219</v>
      </c>
      <c r="B76" s="64" t="s">
        <v>354</v>
      </c>
      <c r="C76" s="65">
        <v>80</v>
      </c>
      <c r="D76" s="63" t="s">
        <v>350</v>
      </c>
      <c r="E76" s="64" t="s">
        <v>351</v>
      </c>
      <c r="F76" s="66">
        <v>-100</v>
      </c>
      <c r="G76" s="65">
        <v>11.7</v>
      </c>
      <c r="H76" s="65"/>
      <c r="I76" s="63" t="s">
        <v>220</v>
      </c>
      <c r="J76" s="67"/>
      <c r="K76" s="67"/>
      <c r="L76" s="67"/>
      <c r="M76" s="63" t="s">
        <v>355</v>
      </c>
      <c r="N76" s="67" t="s">
        <v>352</v>
      </c>
      <c r="O76" s="65">
        <v>78.39</v>
      </c>
      <c r="P76" s="65">
        <v>1009</v>
      </c>
      <c r="Q76" s="69">
        <v>0.15</v>
      </c>
      <c r="R76" s="63" t="s">
        <v>356</v>
      </c>
      <c r="S76" s="65"/>
      <c r="T76" s="65"/>
    </row>
    <row r="77" spans="1:20" ht="15.75" customHeight="1" x14ac:dyDescent="0.25">
      <c r="A77" s="63" t="s">
        <v>219</v>
      </c>
      <c r="B77" s="67" t="s">
        <v>252</v>
      </c>
      <c r="C77" s="65">
        <v>27</v>
      </c>
      <c r="D77" s="63" t="s">
        <v>357</v>
      </c>
      <c r="E77" s="67" t="s">
        <v>358</v>
      </c>
      <c r="F77" s="67">
        <v>-200</v>
      </c>
      <c r="G77" s="65">
        <v>6.5</v>
      </c>
      <c r="H77" s="67"/>
      <c r="I77" s="63"/>
      <c r="J77" s="67"/>
      <c r="K77" s="65"/>
      <c r="L77" s="65"/>
      <c r="M77" s="63"/>
      <c r="N77" s="67" t="s">
        <v>352</v>
      </c>
      <c r="O77" s="65">
        <v>2.2000000000000002</v>
      </c>
      <c r="P77" s="65">
        <v>860</v>
      </c>
      <c r="Q77" s="69">
        <v>0.66</v>
      </c>
      <c r="R77" s="63"/>
      <c r="S77" s="65"/>
      <c r="T77" s="65"/>
    </row>
    <row r="78" spans="1:20" ht="15.75" customHeight="1" x14ac:dyDescent="0.25">
      <c r="A78" s="63" t="s">
        <v>219</v>
      </c>
      <c r="B78" s="64" t="s">
        <v>252</v>
      </c>
      <c r="C78" s="65">
        <v>27</v>
      </c>
      <c r="D78" s="63" t="s">
        <v>357</v>
      </c>
      <c r="E78" s="64" t="s">
        <v>359</v>
      </c>
      <c r="F78" s="66">
        <v>-200</v>
      </c>
      <c r="G78" s="65">
        <v>5.5</v>
      </c>
      <c r="H78" s="67"/>
      <c r="I78" s="63"/>
      <c r="J78" s="67"/>
      <c r="K78" s="65"/>
      <c r="L78" s="68"/>
      <c r="M78" s="63"/>
      <c r="N78" s="67" t="s">
        <v>352</v>
      </c>
      <c r="O78" s="65">
        <v>2.2000000000000002</v>
      </c>
      <c r="P78" s="65">
        <v>660</v>
      </c>
      <c r="Q78" s="69">
        <v>0.6</v>
      </c>
      <c r="R78" s="63" t="s">
        <v>360</v>
      </c>
      <c r="S78" s="65"/>
      <c r="T78" s="65"/>
    </row>
    <row r="79" spans="1:20" ht="15.75" customHeight="1" x14ac:dyDescent="0.25">
      <c r="A79" s="63" t="s">
        <v>219</v>
      </c>
      <c r="B79" s="67" t="s">
        <v>235</v>
      </c>
      <c r="C79" s="65">
        <v>40</v>
      </c>
      <c r="D79" s="63" t="s">
        <v>361</v>
      </c>
      <c r="E79" s="67" t="s">
        <v>362</v>
      </c>
      <c r="F79" s="67">
        <v>-100</v>
      </c>
      <c r="G79" s="65">
        <v>5.3</v>
      </c>
      <c r="H79" s="67"/>
      <c r="I79" s="63"/>
      <c r="J79" s="67"/>
      <c r="K79" s="65"/>
      <c r="L79" s="65"/>
      <c r="M79" s="63"/>
      <c r="N79" s="67" t="s">
        <v>234</v>
      </c>
      <c r="O79" s="65">
        <v>1.82</v>
      </c>
      <c r="P79" s="65">
        <v>348</v>
      </c>
      <c r="Q79" s="69">
        <v>0.65</v>
      </c>
      <c r="R79" s="63"/>
      <c r="S79" s="65"/>
      <c r="T79" s="65"/>
    </row>
    <row r="80" spans="1:20" ht="15.75" customHeight="1" x14ac:dyDescent="0.25">
      <c r="A80" s="63" t="s">
        <v>363</v>
      </c>
      <c r="B80" s="67" t="s">
        <v>235</v>
      </c>
      <c r="C80" s="65">
        <v>28</v>
      </c>
      <c r="D80" s="63" t="s">
        <v>357</v>
      </c>
      <c r="E80" s="67" t="s">
        <v>234</v>
      </c>
      <c r="F80" s="67">
        <v>-200</v>
      </c>
      <c r="G80" s="65">
        <v>4.1500000000000004</v>
      </c>
      <c r="H80" s="67"/>
      <c r="I80" s="63"/>
      <c r="J80" s="67"/>
      <c r="K80" s="65"/>
      <c r="L80" s="65"/>
      <c r="M80" s="63" t="s">
        <v>364</v>
      </c>
      <c r="N80" s="67" t="s">
        <v>365</v>
      </c>
      <c r="O80" s="65">
        <v>2.2000000000000002</v>
      </c>
      <c r="P80" s="65">
        <v>390</v>
      </c>
      <c r="Q80" s="69">
        <v>0.47</v>
      </c>
      <c r="R80" s="63"/>
      <c r="S80" s="65"/>
      <c r="T80" s="65"/>
    </row>
    <row r="81" spans="1:20" ht="15.75" customHeight="1" x14ac:dyDescent="0.25">
      <c r="A81" s="63" t="s">
        <v>219</v>
      </c>
      <c r="B81" s="67" t="s">
        <v>252</v>
      </c>
      <c r="C81" s="65">
        <v>65</v>
      </c>
      <c r="D81" s="63" t="s">
        <v>366</v>
      </c>
      <c r="E81" s="67" t="s">
        <v>346</v>
      </c>
      <c r="F81" s="67">
        <v>-100</v>
      </c>
      <c r="G81" s="65">
        <v>6.4</v>
      </c>
      <c r="H81" s="65"/>
      <c r="I81" s="63" t="s">
        <v>232</v>
      </c>
      <c r="J81" s="67"/>
      <c r="K81" s="65"/>
      <c r="L81" s="65"/>
      <c r="M81" s="63" t="s">
        <v>367</v>
      </c>
      <c r="N81" s="67" t="s">
        <v>368</v>
      </c>
      <c r="O81" s="65">
        <v>64.05</v>
      </c>
      <c r="P81" s="65">
        <v>545</v>
      </c>
      <c r="Q81" s="69">
        <v>0.09</v>
      </c>
      <c r="R81" s="63"/>
      <c r="S81" s="65"/>
      <c r="T81" s="65"/>
    </row>
    <row r="82" spans="1:20" ht="15.75" customHeight="1" x14ac:dyDescent="0.25">
      <c r="A82" s="63" t="s">
        <v>219</v>
      </c>
      <c r="B82" s="67" t="s">
        <v>252</v>
      </c>
      <c r="C82" s="65">
        <v>65</v>
      </c>
      <c r="D82" s="63" t="s">
        <v>366</v>
      </c>
      <c r="E82" s="67" t="s">
        <v>346</v>
      </c>
      <c r="F82" s="67">
        <v>-100</v>
      </c>
      <c r="G82" s="65">
        <v>6</v>
      </c>
      <c r="H82" s="65"/>
      <c r="I82" s="63" t="s">
        <v>232</v>
      </c>
      <c r="J82" s="67"/>
      <c r="K82" s="65"/>
      <c r="L82" s="65"/>
      <c r="M82" s="63" t="s">
        <v>367</v>
      </c>
      <c r="N82" s="67" t="s">
        <v>368</v>
      </c>
      <c r="O82" s="65">
        <v>64.05</v>
      </c>
      <c r="P82" s="65">
        <v>505</v>
      </c>
      <c r="Q82" s="69">
        <v>0.09</v>
      </c>
      <c r="R82" s="63"/>
      <c r="S82" s="65"/>
      <c r="T82" s="65"/>
    </row>
    <row r="83" spans="1:20" ht="15.75" customHeight="1" x14ac:dyDescent="0.25">
      <c r="A83" s="63" t="s">
        <v>222</v>
      </c>
      <c r="B83" s="67" t="s">
        <v>252</v>
      </c>
      <c r="C83" s="65">
        <v>27</v>
      </c>
      <c r="D83" s="63" t="s">
        <v>357</v>
      </c>
      <c r="E83" s="67" t="s">
        <v>369</v>
      </c>
      <c r="F83" s="67">
        <v>-200</v>
      </c>
      <c r="G83" s="65">
        <v>1</v>
      </c>
      <c r="H83" s="67"/>
      <c r="I83" s="63"/>
      <c r="J83" s="65"/>
      <c r="K83" s="67"/>
      <c r="L83" s="67"/>
      <c r="M83" s="63" t="s">
        <v>370</v>
      </c>
      <c r="N83" s="67" t="s">
        <v>371</v>
      </c>
      <c r="O83" s="65">
        <v>0.82</v>
      </c>
      <c r="P83" s="65">
        <v>36</v>
      </c>
      <c r="Q83" s="69">
        <v>0.18</v>
      </c>
      <c r="R83" s="63"/>
      <c r="S83" s="65"/>
      <c r="T83" s="65"/>
    </row>
    <row r="84" spans="1:20" ht="15.75" customHeight="1" x14ac:dyDescent="0.25">
      <c r="A84" s="63" t="s">
        <v>56</v>
      </c>
      <c r="B84" s="67"/>
      <c r="C84" s="67"/>
      <c r="D84" s="63" t="s">
        <v>357</v>
      </c>
      <c r="E84" s="64" t="s">
        <v>359</v>
      </c>
      <c r="F84" s="66">
        <v>200</v>
      </c>
      <c r="G84" s="65">
        <v>21.7</v>
      </c>
      <c r="H84" s="65"/>
      <c r="I84" s="63"/>
      <c r="J84" s="67"/>
      <c r="K84" s="67"/>
      <c r="L84" s="67"/>
      <c r="M84" s="63" t="s">
        <v>372</v>
      </c>
      <c r="N84" s="67" t="s">
        <v>371</v>
      </c>
      <c r="O84" s="65">
        <v>28.15</v>
      </c>
      <c r="P84" s="65">
        <v>1290</v>
      </c>
      <c r="Q84" s="69">
        <v>0.3</v>
      </c>
      <c r="R84" s="63"/>
      <c r="S84" s="65"/>
      <c r="T84" s="65"/>
    </row>
    <row r="85" spans="1:20" ht="15.75" customHeight="1" x14ac:dyDescent="0.25">
      <c r="A85" s="63" t="s">
        <v>222</v>
      </c>
      <c r="B85" s="67" t="s">
        <v>371</v>
      </c>
      <c r="C85" s="65">
        <v>39</v>
      </c>
      <c r="D85" s="63" t="s">
        <v>361</v>
      </c>
      <c r="E85" s="67" t="s">
        <v>373</v>
      </c>
      <c r="F85" s="67">
        <v>-100</v>
      </c>
      <c r="G85" s="65">
        <v>1</v>
      </c>
      <c r="H85" s="67"/>
      <c r="I85" s="63"/>
      <c r="J85" s="65"/>
      <c r="K85" s="67"/>
      <c r="L85" s="67"/>
      <c r="M85" s="63" t="s">
        <v>374</v>
      </c>
      <c r="N85" s="67" t="s">
        <v>375</v>
      </c>
      <c r="O85" s="65">
        <v>0</v>
      </c>
      <c r="P85" s="65">
        <v>100</v>
      </c>
      <c r="Q85" s="69">
        <v>1</v>
      </c>
      <c r="R85" s="63"/>
      <c r="S85" s="65"/>
      <c r="T85" s="65"/>
    </row>
    <row r="86" spans="1:20" ht="15.75" customHeight="1" x14ac:dyDescent="0.25">
      <c r="A86" s="63" t="s">
        <v>56</v>
      </c>
      <c r="B86" s="67"/>
      <c r="C86" s="67"/>
      <c r="D86" s="63" t="s">
        <v>361</v>
      </c>
      <c r="E86" s="67" t="s">
        <v>362</v>
      </c>
      <c r="F86" s="67">
        <v>100</v>
      </c>
      <c r="G86" s="65">
        <v>35.1</v>
      </c>
      <c r="H86" s="65"/>
      <c r="I86" s="63"/>
      <c r="J86" s="67"/>
      <c r="K86" s="67"/>
      <c r="L86" s="67"/>
      <c r="M86" s="63" t="s">
        <v>376</v>
      </c>
      <c r="N86" s="67" t="s">
        <v>375</v>
      </c>
      <c r="O86" s="65">
        <v>39</v>
      </c>
      <c r="P86" s="65">
        <v>390</v>
      </c>
      <c r="Q86" s="69">
        <v>0.11</v>
      </c>
      <c r="R86" s="63"/>
      <c r="S86" s="65"/>
      <c r="T86" s="65"/>
    </row>
    <row r="87" spans="1:20" ht="15.75" customHeight="1" x14ac:dyDescent="0.25">
      <c r="A87" s="63" t="s">
        <v>219</v>
      </c>
      <c r="B87" s="67" t="s">
        <v>235</v>
      </c>
      <c r="C87" s="65">
        <v>17</v>
      </c>
      <c r="D87" s="63" t="s">
        <v>377</v>
      </c>
      <c r="E87" s="67" t="s">
        <v>378</v>
      </c>
      <c r="F87" s="67">
        <v>-200</v>
      </c>
      <c r="G87" s="65">
        <v>5</v>
      </c>
      <c r="H87" s="67"/>
      <c r="I87" s="63"/>
      <c r="J87" s="67"/>
      <c r="K87" s="65"/>
      <c r="L87" s="65"/>
      <c r="M87" s="63" t="s">
        <v>379</v>
      </c>
      <c r="N87" s="67" t="s">
        <v>249</v>
      </c>
      <c r="O87" s="65">
        <v>1.22</v>
      </c>
      <c r="P87" s="65">
        <v>756</v>
      </c>
      <c r="Q87" s="69">
        <v>0.76</v>
      </c>
      <c r="R87" s="63"/>
      <c r="S87" s="65"/>
      <c r="T87" s="65"/>
    </row>
    <row r="88" spans="1:20" ht="15.75" customHeight="1" x14ac:dyDescent="0.25">
      <c r="A88" s="63" t="s">
        <v>219</v>
      </c>
      <c r="B88" s="64" t="s">
        <v>380</v>
      </c>
      <c r="C88" s="65">
        <v>65</v>
      </c>
      <c r="D88" s="63" t="s">
        <v>326</v>
      </c>
      <c r="E88" s="64" t="s">
        <v>381</v>
      </c>
      <c r="F88" s="66">
        <v>-100</v>
      </c>
      <c r="G88" s="65">
        <v>9.6</v>
      </c>
      <c r="H88" s="65"/>
      <c r="I88" s="63" t="s">
        <v>232</v>
      </c>
      <c r="J88" s="67"/>
      <c r="K88" s="67"/>
      <c r="L88" s="67"/>
      <c r="M88" s="63" t="s">
        <v>382</v>
      </c>
      <c r="N88" s="67" t="s">
        <v>231</v>
      </c>
      <c r="O88" s="65">
        <v>56.6</v>
      </c>
      <c r="P88" s="65">
        <v>120</v>
      </c>
      <c r="Q88" s="69">
        <v>0.02</v>
      </c>
      <c r="R88" s="63"/>
      <c r="S88" s="65"/>
      <c r="T88" s="65"/>
    </row>
    <row r="89" spans="1:20" ht="15.75" customHeight="1" x14ac:dyDescent="0.25">
      <c r="A89" s="63" t="s">
        <v>219</v>
      </c>
      <c r="B89" s="64" t="s">
        <v>252</v>
      </c>
      <c r="C89" s="65">
        <v>60</v>
      </c>
      <c r="D89" s="63" t="s">
        <v>326</v>
      </c>
      <c r="E89" s="64" t="s">
        <v>254</v>
      </c>
      <c r="F89" s="66">
        <v>-100</v>
      </c>
      <c r="G89" s="65">
        <v>8.6999999999999993</v>
      </c>
      <c r="H89" s="65"/>
      <c r="I89" s="63" t="s">
        <v>232</v>
      </c>
      <c r="J89" s="67"/>
      <c r="K89" s="67"/>
      <c r="L89" s="67"/>
      <c r="M89" s="63"/>
      <c r="N89" s="67" t="s">
        <v>231</v>
      </c>
      <c r="O89" s="65">
        <v>56.6</v>
      </c>
      <c r="P89" s="65">
        <v>530</v>
      </c>
      <c r="Q89" s="69">
        <v>0.1</v>
      </c>
      <c r="R89" s="63"/>
      <c r="S89" s="65"/>
      <c r="T89" s="65"/>
    </row>
    <row r="90" spans="1:20" ht="15.75" customHeight="1" x14ac:dyDescent="0.25">
      <c r="A90" s="63" t="s">
        <v>219</v>
      </c>
      <c r="B90" s="67" t="s">
        <v>235</v>
      </c>
      <c r="C90" s="65">
        <v>70</v>
      </c>
      <c r="D90" s="63" t="s">
        <v>238</v>
      </c>
      <c r="E90" s="67" t="s">
        <v>383</v>
      </c>
      <c r="F90" s="67">
        <v>-100</v>
      </c>
      <c r="G90" s="65">
        <v>9</v>
      </c>
      <c r="H90" s="67"/>
      <c r="I90" s="63"/>
      <c r="J90" s="67"/>
      <c r="K90" s="65"/>
      <c r="L90" s="65"/>
      <c r="M90" s="63"/>
      <c r="N90" s="67" t="s">
        <v>231</v>
      </c>
      <c r="O90" s="65">
        <v>2.8</v>
      </c>
      <c r="P90" s="65">
        <v>620</v>
      </c>
      <c r="Q90" s="69">
        <v>0.69</v>
      </c>
      <c r="R90" s="63"/>
      <c r="S90" s="65"/>
      <c r="T90" s="65"/>
    </row>
    <row r="91" spans="1:20" ht="15.75" customHeight="1" x14ac:dyDescent="0.25">
      <c r="A91" s="63" t="s">
        <v>219</v>
      </c>
      <c r="B91" s="67" t="s">
        <v>235</v>
      </c>
      <c r="C91" s="65">
        <v>45</v>
      </c>
      <c r="D91" s="63" t="s">
        <v>258</v>
      </c>
      <c r="E91" s="67" t="s">
        <v>384</v>
      </c>
      <c r="F91" s="67">
        <v>-200</v>
      </c>
      <c r="G91" s="65">
        <v>6.55</v>
      </c>
      <c r="H91" s="67"/>
      <c r="I91" s="63"/>
      <c r="J91" s="67"/>
      <c r="K91" s="65"/>
      <c r="L91" s="65"/>
      <c r="M91" s="63"/>
      <c r="N91" s="67" t="s">
        <v>385</v>
      </c>
      <c r="O91" s="65">
        <v>2.75</v>
      </c>
      <c r="P91" s="65">
        <v>760</v>
      </c>
      <c r="Q91" s="69">
        <v>0.57999999999999996</v>
      </c>
      <c r="R91" s="63"/>
      <c r="S91" s="65"/>
      <c r="T91" s="65"/>
    </row>
    <row r="92" spans="1:20" ht="15.75" customHeight="1" x14ac:dyDescent="0.25">
      <c r="A92" s="86" t="s">
        <v>222</v>
      </c>
      <c r="B92" s="87" t="s">
        <v>235</v>
      </c>
      <c r="C92" s="88">
        <v>70</v>
      </c>
      <c r="D92" s="86" t="s">
        <v>238</v>
      </c>
      <c r="E92" s="87" t="s">
        <v>386</v>
      </c>
      <c r="F92" s="87">
        <v>-200</v>
      </c>
      <c r="G92" s="88">
        <v>2</v>
      </c>
      <c r="H92" s="87"/>
      <c r="I92" s="90"/>
      <c r="J92" s="88"/>
      <c r="K92" s="89"/>
      <c r="L92" s="87"/>
      <c r="M92" s="86" t="s">
        <v>387</v>
      </c>
      <c r="N92" s="87" t="s">
        <v>235</v>
      </c>
      <c r="O92" s="65">
        <v>0</v>
      </c>
      <c r="P92" s="65">
        <v>400</v>
      </c>
      <c r="Q92" s="69">
        <v>1</v>
      </c>
      <c r="R92" s="63"/>
      <c r="S92" s="65">
        <v>2</v>
      </c>
      <c r="T92" s="65">
        <v>-5062</v>
      </c>
    </row>
    <row r="93" spans="1:20" ht="15.75" x14ac:dyDescent="0.25">
      <c r="A93" s="92" t="s">
        <v>219</v>
      </c>
      <c r="B93" s="93" t="s">
        <v>229</v>
      </c>
      <c r="C93" s="94">
        <v>35</v>
      </c>
      <c r="D93" s="92" t="s">
        <v>218</v>
      </c>
      <c r="E93" s="93" t="s">
        <v>257</v>
      </c>
      <c r="F93" s="93">
        <v>-100</v>
      </c>
      <c r="G93" s="94">
        <v>3.2</v>
      </c>
      <c r="H93" s="93"/>
      <c r="I93" s="92"/>
      <c r="J93" s="93"/>
      <c r="K93" s="94"/>
      <c r="L93" s="94"/>
      <c r="M93" s="92"/>
      <c r="N93" s="93" t="s">
        <v>388</v>
      </c>
      <c r="O93" s="94">
        <v>0.25</v>
      </c>
      <c r="P93" s="94">
        <v>295</v>
      </c>
      <c r="Q93" s="95">
        <v>0.92</v>
      </c>
      <c r="R93" s="92" t="s">
        <v>389</v>
      </c>
      <c r="S93" s="94"/>
      <c r="T93" s="94"/>
    </row>
    <row r="94" spans="1:20" ht="15.75" x14ac:dyDescent="0.25">
      <c r="A94" s="92" t="s">
        <v>219</v>
      </c>
      <c r="B94" s="93" t="s">
        <v>229</v>
      </c>
      <c r="C94" s="94">
        <v>35</v>
      </c>
      <c r="D94" s="92" t="s">
        <v>218</v>
      </c>
      <c r="E94" s="93" t="s">
        <v>390</v>
      </c>
      <c r="F94" s="93">
        <v>-100</v>
      </c>
      <c r="G94" s="94">
        <v>3.5</v>
      </c>
      <c r="H94" s="93"/>
      <c r="I94" s="92"/>
      <c r="J94" s="93"/>
      <c r="K94" s="94"/>
      <c r="L94" s="94"/>
      <c r="M94" s="92"/>
      <c r="N94" s="93" t="s">
        <v>391</v>
      </c>
      <c r="O94" s="94">
        <v>0.25</v>
      </c>
      <c r="P94" s="94">
        <v>325</v>
      </c>
      <c r="Q94" s="95">
        <v>0.93</v>
      </c>
      <c r="R94" s="92" t="s">
        <v>392</v>
      </c>
      <c r="S94" s="94"/>
      <c r="T94" s="94"/>
    </row>
    <row r="95" spans="1:20" ht="15.75" x14ac:dyDescent="0.25">
      <c r="A95" s="92" t="s">
        <v>219</v>
      </c>
      <c r="B95" s="93" t="s">
        <v>229</v>
      </c>
      <c r="C95" s="94">
        <v>60</v>
      </c>
      <c r="D95" s="92" t="s">
        <v>265</v>
      </c>
      <c r="E95" s="93" t="s">
        <v>384</v>
      </c>
      <c r="F95" s="93">
        <v>-100</v>
      </c>
      <c r="G95" s="94">
        <v>10.5</v>
      </c>
      <c r="H95" s="93"/>
      <c r="I95" s="92"/>
      <c r="J95" s="93"/>
      <c r="K95" s="94"/>
      <c r="L95" s="94"/>
      <c r="M95" s="92"/>
      <c r="N95" s="93" t="s">
        <v>267</v>
      </c>
      <c r="O95" s="94">
        <v>2.4</v>
      </c>
      <c r="P95" s="94">
        <v>810</v>
      </c>
      <c r="Q95" s="95">
        <v>0.77</v>
      </c>
      <c r="R95" s="92" t="s">
        <v>393</v>
      </c>
      <c r="S95" s="94"/>
      <c r="T95" s="94"/>
    </row>
  </sheetData>
  <conditionalFormatting sqref="O43">
    <cfRule type="cellIs" dxfId="2" priority="1" operator="lessThan">
      <formula>0</formula>
    </cfRule>
  </conditionalFormatting>
  <conditionalFormatting sqref="O63">
    <cfRule type="cellIs" dxfId="1" priority="2" operator="lessThan">
      <formula>0</formula>
    </cfRule>
  </conditionalFormatting>
  <conditionalFormatting sqref="P1:P61 Q2 O28 O55 P64:P67 O68:O72 P72">
    <cfRule type="cellIs" dxfId="0" priority="3"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E24:E25"/>
  <sheetViews>
    <sheetView workbookViewId="0">
      <selection activeCell="E24" sqref="E24:E25"/>
    </sheetView>
  </sheetViews>
  <sheetFormatPr defaultRowHeight="15" x14ac:dyDescent="0.25"/>
  <sheetData>
    <row r="24" spans="5:5" ht="21" customHeight="1" x14ac:dyDescent="0.35">
      <c r="E24" s="36" t="s">
        <v>205</v>
      </c>
    </row>
    <row r="25" spans="5:5" ht="21" customHeight="1" x14ac:dyDescent="0.35">
      <c r="E25" s="36" t="s">
        <v>394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0"/>
  <sheetViews>
    <sheetView workbookViewId="0">
      <selection sqref="A1:G1"/>
    </sheetView>
  </sheetViews>
  <sheetFormatPr defaultRowHeight="15" x14ac:dyDescent="0.25"/>
  <cols>
    <col min="1" max="1" width="25" customWidth="1"/>
    <col min="2" max="2" width="22" customWidth="1"/>
    <col min="3" max="3" width="21" customWidth="1"/>
    <col min="4" max="4" width="20" customWidth="1"/>
    <col min="5" max="5" width="18" customWidth="1"/>
    <col min="6" max="6" width="6" customWidth="1"/>
  </cols>
  <sheetData>
    <row r="1" spans="1:7" ht="26.25" x14ac:dyDescent="0.4">
      <c r="A1" s="119" t="s">
        <v>395</v>
      </c>
      <c r="B1" s="118"/>
      <c r="C1" s="118"/>
      <c r="D1" s="118"/>
      <c r="E1" s="118"/>
      <c r="F1" s="118"/>
      <c r="G1" s="118"/>
    </row>
    <row r="2" spans="1:7" x14ac:dyDescent="0.25">
      <c r="A2" s="122" t="s">
        <v>396</v>
      </c>
      <c r="B2" s="118"/>
      <c r="C2" s="118"/>
      <c r="D2" s="118"/>
      <c r="E2" s="118"/>
      <c r="F2" s="118"/>
      <c r="G2" s="118"/>
    </row>
    <row r="5" spans="1:7" ht="20.25" x14ac:dyDescent="0.3">
      <c r="A5" s="123" t="s">
        <v>397</v>
      </c>
      <c r="B5" s="118"/>
      <c r="C5" s="118"/>
      <c r="D5" s="118"/>
      <c r="E5" s="118"/>
    </row>
    <row r="7" spans="1:7" ht="15.75" x14ac:dyDescent="0.25">
      <c r="A7" s="98" t="s">
        <v>398</v>
      </c>
      <c r="B7" s="98" t="s">
        <v>399</v>
      </c>
      <c r="C7" s="98" t="s">
        <v>400</v>
      </c>
      <c r="D7" s="98" t="s">
        <v>401</v>
      </c>
      <c r="E7" s="98" t="s">
        <v>402</v>
      </c>
    </row>
    <row r="8" spans="1:7" x14ac:dyDescent="0.25">
      <c r="A8" s="99">
        <v>2025</v>
      </c>
      <c r="B8" s="100">
        <v>43262.5</v>
      </c>
      <c r="C8" s="101">
        <v>0.24219784946236561</v>
      </c>
      <c r="D8" s="102">
        <v>0.91397849462365588</v>
      </c>
      <c r="E8" s="103">
        <v>93</v>
      </c>
    </row>
    <row r="9" spans="1:7" ht="15.75" x14ac:dyDescent="0.25">
      <c r="A9" s="104" t="s">
        <v>403</v>
      </c>
      <c r="B9" s="105">
        <v>43262.5</v>
      </c>
      <c r="C9" s="106">
        <v>0.24219784946236561</v>
      </c>
      <c r="D9" s="106">
        <v>0.91397849462365588</v>
      </c>
      <c r="E9" s="107">
        <v>93</v>
      </c>
    </row>
    <row r="13" spans="1:7" ht="20.25" x14ac:dyDescent="0.3">
      <c r="A13" s="120" t="s">
        <v>404</v>
      </c>
      <c r="B13" s="118"/>
      <c r="C13" s="118"/>
      <c r="D13" s="118"/>
      <c r="E13" s="118"/>
      <c r="F13" s="118"/>
    </row>
    <row r="15" spans="1:7" ht="16.5" x14ac:dyDescent="0.25">
      <c r="A15" s="117" t="s">
        <v>405</v>
      </c>
      <c r="B15" s="118"/>
      <c r="C15" s="118"/>
    </row>
    <row r="16" spans="1:7" x14ac:dyDescent="0.25">
      <c r="A16" s="108" t="s">
        <v>406</v>
      </c>
      <c r="B16" s="109">
        <v>34</v>
      </c>
    </row>
    <row r="17" spans="1:3" x14ac:dyDescent="0.25">
      <c r="A17" s="108" t="s">
        <v>407</v>
      </c>
      <c r="B17" s="110">
        <v>162518.39999999999</v>
      </c>
    </row>
    <row r="19" spans="1:3" ht="16.5" x14ac:dyDescent="0.25">
      <c r="A19" s="117" t="s">
        <v>408</v>
      </c>
      <c r="B19" s="118"/>
      <c r="C19" s="118"/>
    </row>
    <row r="20" spans="1:3" x14ac:dyDescent="0.25">
      <c r="A20" s="108" t="s">
        <v>409</v>
      </c>
      <c r="B20" s="110">
        <v>3300</v>
      </c>
    </row>
    <row r="21" spans="1:3" x14ac:dyDescent="0.25">
      <c r="A21" s="108" t="s">
        <v>410</v>
      </c>
      <c r="B21" s="110">
        <v>5856</v>
      </c>
    </row>
    <row r="22" spans="1:3" x14ac:dyDescent="0.25">
      <c r="A22" s="108" t="s">
        <v>411</v>
      </c>
      <c r="B22" s="110">
        <v>54800</v>
      </c>
    </row>
    <row r="24" spans="1:3" ht="16.5" x14ac:dyDescent="0.25">
      <c r="A24" s="117" t="s">
        <v>412</v>
      </c>
      <c r="B24" s="118"/>
      <c r="C24" s="118"/>
    </row>
    <row r="25" spans="1:3" x14ac:dyDescent="0.25">
      <c r="A25" s="108" t="s">
        <v>413</v>
      </c>
      <c r="B25" s="111">
        <v>-23648.799999999999</v>
      </c>
    </row>
    <row r="26" spans="1:3" x14ac:dyDescent="0.25">
      <c r="A26" s="108" t="s">
        <v>414</v>
      </c>
      <c r="B26" s="112">
        <v>-0.14551460019296281</v>
      </c>
    </row>
    <row r="27" spans="1:3" x14ac:dyDescent="0.25">
      <c r="A27" s="108" t="s">
        <v>415</v>
      </c>
      <c r="B27" s="110">
        <v>138869.6</v>
      </c>
    </row>
    <row r="29" spans="1:3" ht="16.5" x14ac:dyDescent="0.25">
      <c r="A29" s="117" t="s">
        <v>416</v>
      </c>
      <c r="B29" s="118"/>
      <c r="C29" s="118"/>
    </row>
    <row r="30" spans="1:3" x14ac:dyDescent="0.25">
      <c r="A30" s="108" t="s">
        <v>417</v>
      </c>
      <c r="B30" s="110">
        <v>217318.39999999999</v>
      </c>
    </row>
    <row r="31" spans="1:3" x14ac:dyDescent="0.25">
      <c r="A31" s="108" t="s">
        <v>418</v>
      </c>
      <c r="B31" s="110">
        <v>9156</v>
      </c>
    </row>
    <row r="32" spans="1:3" x14ac:dyDescent="0.25">
      <c r="A32" s="108" t="s">
        <v>419</v>
      </c>
      <c r="B32" s="113">
        <v>-45644</v>
      </c>
    </row>
    <row r="35" spans="1:4" ht="18" x14ac:dyDescent="0.25">
      <c r="A35" s="121" t="s">
        <v>420</v>
      </c>
      <c r="B35" s="118"/>
      <c r="C35" s="118"/>
      <c r="D35" s="118"/>
    </row>
    <row r="37" spans="1:4" x14ac:dyDescent="0.25">
      <c r="A37" s="114" t="s">
        <v>421</v>
      </c>
      <c r="B37" s="114" t="s">
        <v>422</v>
      </c>
      <c r="C37" s="114" t="s">
        <v>423</v>
      </c>
      <c r="D37" s="114" t="s">
        <v>424</v>
      </c>
    </row>
    <row r="38" spans="1:4" x14ac:dyDescent="0.25">
      <c r="A38" s="115" t="s">
        <v>56</v>
      </c>
      <c r="B38" s="115">
        <v>13</v>
      </c>
      <c r="C38" s="116">
        <v>61332.4</v>
      </c>
      <c r="D38" s="116">
        <v>0</v>
      </c>
    </row>
    <row r="39" spans="1:4" x14ac:dyDescent="0.25">
      <c r="A39" s="115" t="s">
        <v>219</v>
      </c>
      <c r="B39" s="115">
        <v>17</v>
      </c>
      <c r="C39" s="116">
        <v>46386</v>
      </c>
      <c r="D39" s="116">
        <v>5856</v>
      </c>
    </row>
    <row r="40" spans="1:4" x14ac:dyDescent="0.25">
      <c r="A40" s="115" t="s">
        <v>222</v>
      </c>
      <c r="B40" s="115">
        <v>4</v>
      </c>
      <c r="C40" s="116">
        <v>0</v>
      </c>
      <c r="D40" s="116">
        <v>3300</v>
      </c>
    </row>
  </sheetData>
  <mergeCells count="9">
    <mergeCell ref="A19:C19"/>
    <mergeCell ref="A1:G1"/>
    <mergeCell ref="A13:F13"/>
    <mergeCell ref="A35:D35"/>
    <mergeCell ref="A2:G2"/>
    <mergeCell ref="A5:E5"/>
    <mergeCell ref="A15:C15"/>
    <mergeCell ref="A24:C24"/>
    <mergeCell ref="A29:C2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2024 Results</vt:lpstr>
      <vt:lpstr>Open_Trades_2025</vt:lpstr>
      <vt:lpstr>Closed_Trades_2025</vt:lpstr>
      <vt:lpstr>Result</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J Matthews</dc:creator>
  <cp:lastModifiedBy>Mark J Matthews</cp:lastModifiedBy>
  <dcterms:created xsi:type="dcterms:W3CDTF">2024-05-25T13:15:44Z</dcterms:created>
  <dcterms:modified xsi:type="dcterms:W3CDTF">2025-11-05T17:46:11Z</dcterms:modified>
</cp:coreProperties>
</file>