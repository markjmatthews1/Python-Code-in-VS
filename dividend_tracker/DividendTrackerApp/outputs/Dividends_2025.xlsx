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jmat\Python Code in VS\dividend_tracker\DividendTrackerApp\outputs\"/>
    </mc:Choice>
  </mc:AlternateContent>
  <xr:revisionPtr revIDLastSave="0" documentId="13_ncr:1_{0AF333F9-26A3-41EC-B01E-1AB634C97EEF}" xr6:coauthVersionLast="47" xr6:coauthVersionMax="47" xr10:uidLastSave="{00000000-0000-0000-0000-000000000000}"/>
  <bookViews>
    <workbookView xWindow="-120" yWindow="-120" windowWidth="29040" windowHeight="15720" tabRatio="755" activeTab="6" xr2:uid="{00000000-000D-0000-FFFF-FFFF00000000}"/>
  </bookViews>
  <sheets>
    <sheet name="Portfolio Summary" sheetId="1" r:id="rId1"/>
    <sheet name="Portfolio Values 2025" sheetId="2" r:id="rId2"/>
    <sheet name="Estimated Income 2025" sheetId="3" r:id="rId3"/>
    <sheet name="Schwab_IRA" sheetId="4" r:id="rId4"/>
    <sheet name="Schwab_Individual" sheetId="5" r:id="rId5"/>
    <sheet name="Etrade_IRA" sheetId="6" r:id="rId6"/>
    <sheet name="Etrade_Individual" sheetId="7" r:id="rId7"/>
    <sheet name="Accounts Div historical yield (" sheetId="8" r:id="rId8"/>
    <sheet name="Ticker Analysis 2025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H2" i="7"/>
  <c r="U2" i="7"/>
  <c r="V2" i="7"/>
  <c r="W2" i="7"/>
  <c r="X2" i="7"/>
  <c r="Y2" i="7"/>
  <c r="R2" i="7"/>
  <c r="S2" i="7"/>
  <c r="T2" i="7"/>
  <c r="Q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P2" i="7"/>
  <c r="J2" i="6"/>
  <c r="H2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2" i="6" s="1"/>
  <c r="M19" i="6"/>
  <c r="M20" i="6"/>
  <c r="M4" i="6"/>
  <c r="T2" i="6"/>
  <c r="U2" i="6"/>
  <c r="V2" i="6"/>
  <c r="W2" i="6"/>
  <c r="X2" i="6"/>
  <c r="Y2" i="6"/>
  <c r="S2" i="6"/>
  <c r="Q2" i="6"/>
  <c r="R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P2" i="6"/>
  <c r="N2" i="5"/>
  <c r="N5" i="5"/>
  <c r="N4" i="5"/>
  <c r="H2" i="5"/>
  <c r="T2" i="5"/>
  <c r="U2" i="5"/>
  <c r="V2" i="5"/>
  <c r="W2" i="5"/>
  <c r="X2" i="5"/>
  <c r="Y2" i="5"/>
  <c r="S2" i="5"/>
  <c r="Q2" i="5"/>
  <c r="R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P2" i="5"/>
  <c r="N2" i="4"/>
  <c r="N5" i="4"/>
  <c r="N6" i="4"/>
  <c r="N7" i="4"/>
  <c r="N8" i="4"/>
  <c r="N9" i="4"/>
  <c r="N10" i="4"/>
  <c r="N4" i="4"/>
  <c r="M9" i="4"/>
  <c r="L5" i="4"/>
  <c r="L6" i="4"/>
  <c r="L7" i="4"/>
  <c r="L8" i="4"/>
  <c r="L9" i="4"/>
  <c r="L10" i="4"/>
  <c r="L4" i="4"/>
  <c r="M10" i="4"/>
  <c r="F10" i="4"/>
  <c r="G10" i="4"/>
  <c r="H10" i="4"/>
  <c r="I10" i="4"/>
  <c r="T2" i="4"/>
  <c r="U2" i="4"/>
  <c r="V2" i="4"/>
  <c r="W2" i="4"/>
  <c r="X2" i="4"/>
  <c r="Y2" i="4"/>
  <c r="S2" i="4"/>
  <c r="Q2" i="4"/>
  <c r="R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P2" i="4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O54" i="8"/>
  <c r="N54" i="8"/>
  <c r="N52" i="8"/>
  <c r="M52" i="8"/>
  <c r="L52" i="8"/>
  <c r="N51" i="8"/>
  <c r="M51" i="8"/>
  <c r="M54" i="8" s="1"/>
  <c r="L51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O48" i="8"/>
  <c r="M48" i="8"/>
  <c r="L48" i="8"/>
  <c r="N46" i="8"/>
  <c r="M46" i="8"/>
  <c r="L46" i="8"/>
  <c r="L54" i="8" s="1"/>
  <c r="H46" i="8"/>
  <c r="G46" i="8"/>
  <c r="I46" i="8" s="1"/>
  <c r="F46" i="8"/>
  <c r="E46" i="8"/>
  <c r="N45" i="8"/>
  <c r="M45" i="8"/>
  <c r="L45" i="8"/>
  <c r="H45" i="8"/>
  <c r="G45" i="8"/>
  <c r="I45" i="8" s="1"/>
  <c r="F45" i="8"/>
  <c r="E45" i="8"/>
  <c r="N44" i="8"/>
  <c r="M44" i="8"/>
  <c r="L44" i="8"/>
  <c r="H44" i="8"/>
  <c r="G44" i="8"/>
  <c r="I44" i="8" s="1"/>
  <c r="F44" i="8"/>
  <c r="E44" i="8"/>
  <c r="N43" i="8"/>
  <c r="M43" i="8"/>
  <c r="L43" i="8"/>
  <c r="H43" i="8"/>
  <c r="G43" i="8"/>
  <c r="I43" i="8" s="1"/>
  <c r="F43" i="8"/>
  <c r="E43" i="8"/>
  <c r="N42" i="8"/>
  <c r="M42" i="8"/>
  <c r="L42" i="8"/>
  <c r="H42" i="8"/>
  <c r="G42" i="8"/>
  <c r="I42" i="8" s="1"/>
  <c r="F42" i="8"/>
  <c r="E42" i="8"/>
  <c r="N41" i="8"/>
  <c r="M41" i="8"/>
  <c r="L41" i="8"/>
  <c r="H41" i="8"/>
  <c r="G41" i="8"/>
  <c r="I41" i="8" s="1"/>
  <c r="F41" i="8"/>
  <c r="E41" i="8"/>
  <c r="N40" i="8"/>
  <c r="N48" i="8" s="1"/>
  <c r="M40" i="8"/>
  <c r="L40" i="8"/>
  <c r="H40" i="8"/>
  <c r="G40" i="8"/>
  <c r="I40" i="8" s="1"/>
  <c r="F40" i="8"/>
  <c r="E40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O37" i="8"/>
  <c r="N35" i="8"/>
  <c r="M35" i="8"/>
  <c r="L35" i="8"/>
  <c r="H35" i="8"/>
  <c r="G35" i="8"/>
  <c r="I35" i="8" s="1"/>
  <c r="F35" i="8"/>
  <c r="E35" i="8"/>
  <c r="N34" i="8"/>
  <c r="M34" i="8"/>
  <c r="L34" i="8"/>
  <c r="F34" i="8"/>
  <c r="E34" i="8"/>
  <c r="N33" i="8"/>
  <c r="M33" i="8"/>
  <c r="L33" i="8"/>
  <c r="H33" i="8"/>
  <c r="G33" i="8"/>
  <c r="I33" i="8" s="1"/>
  <c r="F33" i="8"/>
  <c r="E33" i="8"/>
  <c r="N32" i="8"/>
  <c r="M32" i="8"/>
  <c r="L32" i="8"/>
  <c r="F32" i="8"/>
  <c r="E32" i="8"/>
  <c r="N31" i="8"/>
  <c r="M31" i="8"/>
  <c r="L31" i="8"/>
  <c r="F31" i="8"/>
  <c r="E31" i="8"/>
  <c r="N30" i="8"/>
  <c r="M30" i="8"/>
  <c r="L30" i="8"/>
  <c r="F30" i="8"/>
  <c r="E30" i="8"/>
  <c r="N29" i="8"/>
  <c r="M29" i="8"/>
  <c r="L29" i="8"/>
  <c r="F29" i="8"/>
  <c r="E29" i="8"/>
  <c r="N28" i="8"/>
  <c r="M28" i="8"/>
  <c r="L28" i="8"/>
  <c r="F28" i="8"/>
  <c r="E28" i="8"/>
  <c r="N27" i="8"/>
  <c r="M27" i="8"/>
  <c r="L27" i="8"/>
  <c r="F27" i="8"/>
  <c r="E27" i="8"/>
  <c r="N26" i="8"/>
  <c r="M26" i="8"/>
  <c r="L26" i="8"/>
  <c r="F26" i="8"/>
  <c r="E26" i="8"/>
  <c r="N25" i="8"/>
  <c r="M25" i="8"/>
  <c r="L25" i="8"/>
  <c r="F25" i="8"/>
  <c r="E25" i="8"/>
  <c r="N24" i="8"/>
  <c r="N37" i="8" s="1"/>
  <c r="M24" i="8"/>
  <c r="M37" i="8" s="1"/>
  <c r="L24" i="8"/>
  <c r="L37" i="8" s="1"/>
  <c r="F24" i="8"/>
  <c r="E24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M21" i="8"/>
  <c r="N19" i="8"/>
  <c r="L19" i="8"/>
  <c r="F19" i="8"/>
  <c r="E19" i="8"/>
  <c r="N18" i="8"/>
  <c r="L18" i="8"/>
  <c r="F18" i="8"/>
  <c r="E18" i="8"/>
  <c r="N17" i="8"/>
  <c r="M17" i="8"/>
  <c r="L17" i="8"/>
  <c r="H17" i="8"/>
  <c r="G17" i="8"/>
  <c r="I17" i="8" s="1"/>
  <c r="F17" i="8"/>
  <c r="E17" i="8"/>
  <c r="N16" i="8"/>
  <c r="L16" i="8"/>
  <c r="F16" i="8"/>
  <c r="E16" i="8"/>
  <c r="N15" i="8"/>
  <c r="L15" i="8"/>
  <c r="F15" i="8"/>
  <c r="E15" i="8"/>
  <c r="N14" i="8"/>
  <c r="L14" i="8"/>
  <c r="F14" i="8"/>
  <c r="E14" i="8"/>
  <c r="N13" i="8"/>
  <c r="L13" i="8"/>
  <c r="F13" i="8"/>
  <c r="E13" i="8"/>
  <c r="N12" i="8"/>
  <c r="L12" i="8"/>
  <c r="F12" i="8"/>
  <c r="E12" i="8"/>
  <c r="N11" i="8"/>
  <c r="L11" i="8"/>
  <c r="F11" i="8"/>
  <c r="E11" i="8"/>
  <c r="N10" i="8"/>
  <c r="L10" i="8"/>
  <c r="F10" i="8"/>
  <c r="E10" i="8"/>
  <c r="N9" i="8"/>
  <c r="L9" i="8"/>
  <c r="F9" i="8"/>
  <c r="E9" i="8"/>
  <c r="N8" i="8"/>
  <c r="L8" i="8"/>
  <c r="F8" i="8"/>
  <c r="E8" i="8"/>
  <c r="N7" i="8"/>
  <c r="L7" i="8"/>
  <c r="F7" i="8"/>
  <c r="E7" i="8"/>
  <c r="N6" i="8"/>
  <c r="L6" i="8"/>
  <c r="F6" i="8"/>
  <c r="E6" i="8"/>
  <c r="N5" i="8"/>
  <c r="L5" i="8"/>
  <c r="F5" i="8"/>
  <c r="E5" i="8"/>
  <c r="N4" i="8"/>
  <c r="L4" i="8"/>
  <c r="F4" i="8"/>
  <c r="E4" i="8"/>
  <c r="N3" i="8"/>
  <c r="N21" i="8" s="1"/>
  <c r="L3" i="8"/>
  <c r="L21" i="8" s="1"/>
  <c r="F3" i="8"/>
  <c r="E3" i="8"/>
  <c r="N15" i="7"/>
  <c r="M15" i="7"/>
  <c r="L15" i="7"/>
  <c r="H15" i="7"/>
  <c r="G15" i="7"/>
  <c r="I15" i="7" s="1"/>
  <c r="F15" i="7"/>
  <c r="E15" i="7"/>
  <c r="N14" i="7"/>
  <c r="M14" i="7"/>
  <c r="L14" i="7"/>
  <c r="H14" i="7"/>
  <c r="G14" i="7"/>
  <c r="I14" i="7" s="1"/>
  <c r="F14" i="7"/>
  <c r="E14" i="7"/>
  <c r="N13" i="7"/>
  <c r="M13" i="7"/>
  <c r="L13" i="7"/>
  <c r="H13" i="7"/>
  <c r="G13" i="7"/>
  <c r="I13" i="7" s="1"/>
  <c r="F13" i="7"/>
  <c r="E13" i="7"/>
  <c r="N12" i="7"/>
  <c r="M12" i="7"/>
  <c r="L12" i="7"/>
  <c r="H12" i="7"/>
  <c r="G12" i="7"/>
  <c r="I12" i="7" s="1"/>
  <c r="F12" i="7"/>
  <c r="E12" i="7"/>
  <c r="N11" i="7"/>
  <c r="M11" i="7"/>
  <c r="L11" i="7"/>
  <c r="H11" i="7"/>
  <c r="G11" i="7"/>
  <c r="I11" i="7" s="1"/>
  <c r="F11" i="7"/>
  <c r="E11" i="7"/>
  <c r="N10" i="7"/>
  <c r="M10" i="7"/>
  <c r="L10" i="7"/>
  <c r="H10" i="7"/>
  <c r="G10" i="7"/>
  <c r="I10" i="7" s="1"/>
  <c r="F10" i="7"/>
  <c r="E10" i="7"/>
  <c r="N9" i="7"/>
  <c r="M9" i="7"/>
  <c r="L9" i="7"/>
  <c r="H9" i="7"/>
  <c r="G9" i="7"/>
  <c r="I9" i="7" s="1"/>
  <c r="F9" i="7"/>
  <c r="E9" i="7"/>
  <c r="N8" i="7"/>
  <c r="M8" i="7"/>
  <c r="L8" i="7"/>
  <c r="H8" i="7"/>
  <c r="G8" i="7"/>
  <c r="I8" i="7" s="1"/>
  <c r="F8" i="7"/>
  <c r="E8" i="7"/>
  <c r="N7" i="7"/>
  <c r="M7" i="7"/>
  <c r="L7" i="7"/>
  <c r="H7" i="7"/>
  <c r="G7" i="7"/>
  <c r="I7" i="7" s="1"/>
  <c r="F7" i="7"/>
  <c r="E7" i="7"/>
  <c r="N6" i="7"/>
  <c r="M6" i="7"/>
  <c r="L6" i="7"/>
  <c r="H6" i="7"/>
  <c r="G6" i="7"/>
  <c r="I6" i="7" s="1"/>
  <c r="F6" i="7"/>
  <c r="E6" i="7"/>
  <c r="N5" i="7"/>
  <c r="M5" i="7"/>
  <c r="L5" i="7"/>
  <c r="H5" i="7"/>
  <c r="G5" i="7"/>
  <c r="I5" i="7" s="1"/>
  <c r="F5" i="7"/>
  <c r="E5" i="7"/>
  <c r="N4" i="7"/>
  <c r="N2" i="7" s="1"/>
  <c r="M4" i="7"/>
  <c r="M2" i="7" s="1"/>
  <c r="L4" i="7"/>
  <c r="L2" i="7" s="1"/>
  <c r="H4" i="7"/>
  <c r="G4" i="7"/>
  <c r="I4" i="7" s="1"/>
  <c r="F4" i="7"/>
  <c r="E4" i="7"/>
  <c r="O2" i="7"/>
  <c r="N20" i="6"/>
  <c r="L20" i="6"/>
  <c r="F20" i="6"/>
  <c r="E20" i="6"/>
  <c r="N19" i="6"/>
  <c r="L19" i="6"/>
  <c r="F19" i="6"/>
  <c r="E19" i="6"/>
  <c r="N18" i="6"/>
  <c r="L18" i="6"/>
  <c r="I18" i="6"/>
  <c r="H18" i="6"/>
  <c r="G18" i="6"/>
  <c r="F18" i="6"/>
  <c r="E18" i="6"/>
  <c r="N17" i="6"/>
  <c r="L17" i="6"/>
  <c r="F17" i="6"/>
  <c r="E17" i="6"/>
  <c r="N16" i="6"/>
  <c r="L16" i="6"/>
  <c r="F16" i="6"/>
  <c r="E16" i="6"/>
  <c r="N15" i="6"/>
  <c r="L15" i="6"/>
  <c r="F15" i="6"/>
  <c r="E15" i="6"/>
  <c r="N14" i="6"/>
  <c r="L14" i="6"/>
  <c r="F14" i="6"/>
  <c r="E14" i="6"/>
  <c r="N13" i="6"/>
  <c r="L13" i="6"/>
  <c r="F13" i="6"/>
  <c r="E13" i="6"/>
  <c r="N12" i="6"/>
  <c r="L12" i="6"/>
  <c r="F12" i="6"/>
  <c r="E12" i="6"/>
  <c r="N11" i="6"/>
  <c r="L11" i="6"/>
  <c r="F11" i="6"/>
  <c r="E11" i="6"/>
  <c r="N10" i="6"/>
  <c r="L10" i="6"/>
  <c r="F10" i="6"/>
  <c r="E10" i="6"/>
  <c r="N9" i="6"/>
  <c r="L9" i="6"/>
  <c r="F9" i="6"/>
  <c r="E9" i="6"/>
  <c r="N8" i="6"/>
  <c r="L8" i="6"/>
  <c r="F8" i="6"/>
  <c r="E8" i="6"/>
  <c r="N7" i="6"/>
  <c r="L7" i="6"/>
  <c r="F7" i="6"/>
  <c r="E7" i="6"/>
  <c r="N6" i="6"/>
  <c r="L6" i="6"/>
  <c r="F6" i="6"/>
  <c r="E6" i="6"/>
  <c r="N5" i="6"/>
  <c r="L5" i="6"/>
  <c r="F5" i="6"/>
  <c r="E5" i="6"/>
  <c r="N4" i="6"/>
  <c r="L4" i="6"/>
  <c r="F4" i="6"/>
  <c r="E4" i="6"/>
  <c r="O2" i="6"/>
  <c r="N2" i="6"/>
  <c r="L2" i="6"/>
  <c r="M5" i="5"/>
  <c r="L5" i="5"/>
  <c r="H5" i="5"/>
  <c r="G5" i="5"/>
  <c r="I5" i="5" s="1"/>
  <c r="F5" i="5"/>
  <c r="E5" i="5"/>
  <c r="J2" i="5"/>
  <c r="M4" i="5"/>
  <c r="M2" i="5" s="1"/>
  <c r="L4" i="5"/>
  <c r="L2" i="5" s="1"/>
  <c r="H4" i="5"/>
  <c r="G4" i="5"/>
  <c r="I4" i="5" s="1"/>
  <c r="F4" i="5"/>
  <c r="E4" i="5"/>
  <c r="O2" i="5"/>
  <c r="E10" i="4"/>
  <c r="H9" i="4"/>
  <c r="G9" i="4"/>
  <c r="I9" i="4" s="1"/>
  <c r="F9" i="4"/>
  <c r="E9" i="4"/>
  <c r="M8" i="4"/>
  <c r="H8" i="4"/>
  <c r="G8" i="4"/>
  <c r="I8" i="4" s="1"/>
  <c r="F8" i="4"/>
  <c r="E8" i="4"/>
  <c r="M7" i="4"/>
  <c r="H7" i="4"/>
  <c r="G7" i="4"/>
  <c r="I7" i="4" s="1"/>
  <c r="F7" i="4"/>
  <c r="E7" i="4"/>
  <c r="M6" i="4"/>
  <c r="H6" i="4"/>
  <c r="G6" i="4"/>
  <c r="I6" i="4" s="1"/>
  <c r="F6" i="4"/>
  <c r="E6" i="4"/>
  <c r="M5" i="4"/>
  <c r="H5" i="4"/>
  <c r="G5" i="4"/>
  <c r="F5" i="4"/>
  <c r="E5" i="4"/>
  <c r="M4" i="4"/>
  <c r="H4" i="4"/>
  <c r="G4" i="4"/>
  <c r="I4" i="4" s="1"/>
  <c r="F4" i="4"/>
  <c r="E4" i="4"/>
  <c r="O2" i="4"/>
  <c r="AT9" i="3"/>
  <c r="AS9" i="3"/>
  <c r="AR9" i="3"/>
  <c r="AQ9" i="3"/>
  <c r="AP9" i="3"/>
  <c r="AO9" i="3"/>
  <c r="AN9" i="3"/>
  <c r="AM9" i="3"/>
  <c r="AL9" i="3"/>
  <c r="AK9" i="3"/>
  <c r="AJ9" i="3"/>
  <c r="AI9" i="3"/>
  <c r="G9" i="3"/>
  <c r="B9" i="3"/>
  <c r="AL10" i="2"/>
  <c r="B10" i="2"/>
  <c r="J2" i="4" l="1"/>
  <c r="L2" i="4"/>
  <c r="M2" i="4"/>
  <c r="H2" i="4" s="1"/>
  <c r="I5" i="4"/>
</calcChain>
</file>

<file path=xl/sharedStrings.xml><?xml version="1.0" encoding="utf-8"?>
<sst xmlns="http://schemas.openxmlformats.org/spreadsheetml/2006/main" count="976" uniqueCount="293">
  <si>
    <t>PORTFOLIO SUMMARY</t>
  </si>
  <si>
    <t>WEEKLY DIVIDEND STATISTICS</t>
  </si>
  <si>
    <t>DIVIDEND STATUS</t>
  </si>
  <si>
    <t>LAST UPDATED</t>
  </si>
  <si>
    <t>11/01 11:03</t>
  </si>
  <si>
    <t>CURRENT VALUES</t>
  </si>
  <si>
    <t>CURRENT ESTIMATES</t>
  </si>
  <si>
    <t>DIVIDEND REDUCTIONS</t>
  </si>
  <si>
    <t>DIVIDEND INCREASES</t>
  </si>
  <si>
    <t>E*TRADE IRA:</t>
  </si>
  <si>
    <t>Weekly Estimate:</t>
  </si>
  <si>
    <t>Account</t>
  </si>
  <si>
    <t>Reduced Tickers</t>
  </si>
  <si>
    <t>Increased Tickers</t>
  </si>
  <si>
    <t>E*TRADE Taxable:</t>
  </si>
  <si>
    <t>Monthly Estimate:</t>
  </si>
  <si>
    <t>Dividend Performance:</t>
  </si>
  <si>
    <t>+7.4% Net Gain</t>
  </si>
  <si>
    <t>Total Changes:</t>
  </si>
  <si>
    <t>15 cuts, 19 increases</t>
  </si>
  <si>
    <t>Schwab IRA:</t>
  </si>
  <si>
    <t>Annual Estimate:</t>
  </si>
  <si>
    <t>Schwab Individual:</t>
  </si>
  <si>
    <t>E*TRADE IRA</t>
  </si>
  <si>
    <t>6 dividend cuts</t>
  </si>
  <si>
    <t>9 dividend increases</t>
  </si>
  <si>
    <t>401k Retirement:</t>
  </si>
  <si>
    <t>ACCOUNT BREAKDOWN (Annual)</t>
  </si>
  <si>
    <t xml:space="preserve">  ABR ↓</t>
  </si>
  <si>
    <t>-16.3% (14.20% → 11.89%)</t>
  </si>
  <si>
    <t xml:space="preserve">  ACP ↑</t>
  </si>
  <si>
    <t>+7.5% (15.53% → 16.70%)</t>
  </si>
  <si>
    <t>Current Portfolio Total:</t>
  </si>
  <si>
    <t xml:space="preserve">  BITO ↓</t>
  </si>
  <si>
    <t>-2.5% (57.07% → 55.63%)</t>
  </si>
  <si>
    <t xml:space="preserve">  AGNC ↑</t>
  </si>
  <si>
    <t>+4.3% (13.81% → 14.40%)</t>
  </si>
  <si>
    <t>Weekly Change:</t>
  </si>
  <si>
    <t>+$4,651.19 (+0.86%)</t>
  </si>
  <si>
    <t xml:space="preserve">  DSL ↓</t>
  </si>
  <si>
    <t>-12.1% (12.75% → 11.21%)</t>
  </si>
  <si>
    <t xml:space="preserve">  BRSP ↑</t>
  </si>
  <si>
    <t>+20.3% (10.31% → 12.40%)</t>
  </si>
  <si>
    <t>YTD Gain/Loss:</t>
  </si>
  <si>
    <t>+$64,285.45 (+13.3%)</t>
  </si>
  <si>
    <t xml:space="preserve">  EIC ↓</t>
  </si>
  <si>
    <t>-21.0% (15.23% → 12.03%)</t>
  </si>
  <si>
    <t xml:space="preserve">  DX ↑</t>
  </si>
  <si>
    <t>+5.4% (14.62% → 15.41%)</t>
  </si>
  <si>
    <t xml:space="preserve">  OFS ↓</t>
  </si>
  <si>
    <t>-29.0% (16.04% → 11.39%)</t>
  </si>
  <si>
    <t xml:space="preserve">  ECC ↑</t>
  </si>
  <si>
    <t>+39.8% (19.35% → 27.05%)</t>
  </si>
  <si>
    <t>ACCOUNT BREAKDOWN</t>
  </si>
  <si>
    <t xml:space="preserve">  PDI ↓</t>
  </si>
  <si>
    <t>-13.5% (16.65% → 14.41%)</t>
  </si>
  <si>
    <t xml:space="preserve">  MORT ↑</t>
  </si>
  <si>
    <t>+29.5% (10.83% → 14.03%)</t>
  </si>
  <si>
    <t xml:space="preserve">ACCOUNT WITHDRAWLS </t>
  </si>
  <si>
    <t>E*TRADE Taxable</t>
  </si>
  <si>
    <t>5 dividend cuts</t>
  </si>
  <si>
    <t xml:space="preserve">  QDTE ↑</t>
  </si>
  <si>
    <t>+15.9% (29.33% → 33.98%)</t>
  </si>
  <si>
    <t>Monthly E*TRADE IRA</t>
  </si>
  <si>
    <t xml:space="preserve">  QQQI ↑</t>
  </si>
  <si>
    <t>+1.7% (13.70% → 13.93%)</t>
  </si>
  <si>
    <t>Quarterly E*TRADE IRA:</t>
  </si>
  <si>
    <t xml:space="preserve">  SVOL ↑</t>
  </si>
  <si>
    <t>+24.6% (16.29% → 20.30%)</t>
  </si>
  <si>
    <t>Monthly E*TRADE Taxable:</t>
  </si>
  <si>
    <t>6 dividend increases</t>
  </si>
  <si>
    <t>Total Monthly Withdrawals:</t>
  </si>
  <si>
    <t>NET INCOME (After Withdrawals)</t>
  </si>
  <si>
    <t>Schwab IRA</t>
  </si>
  <si>
    <t>3 dividend cuts</t>
  </si>
  <si>
    <t>PERFORMANCE TRACKING</t>
  </si>
  <si>
    <t>Net Monthly Income:</t>
  </si>
  <si>
    <t xml:space="preserve">  AGNC ↓</t>
  </si>
  <si>
    <t>-6.4% (15.38% → 14.40%)</t>
  </si>
  <si>
    <t>Total Return:</t>
  </si>
  <si>
    <t>Net Annual Income:</t>
  </si>
  <si>
    <t xml:space="preserve">  DX ↓</t>
  </si>
  <si>
    <t>-3.0% (15.89% → 15.41%)</t>
  </si>
  <si>
    <t>YTD Performance:</t>
  </si>
  <si>
    <t>+$64,285 (+13.3%)</t>
  </si>
  <si>
    <t>Reinvestment Rate:</t>
  </si>
  <si>
    <t xml:space="preserve">  NVDW ↓</t>
  </si>
  <si>
    <t>-32.5% (73.66% → 49.70%)</t>
  </si>
  <si>
    <t>+64.0% (12.38% → 20.30%)</t>
  </si>
  <si>
    <t>Schwab Individual</t>
  </si>
  <si>
    <t>1 dividend cuts</t>
  </si>
  <si>
    <t>3 dividend increases</t>
  </si>
  <si>
    <t>DIVIDEND METRICS</t>
  </si>
  <si>
    <t>+77.6% (15.23% → 27.05%)</t>
  </si>
  <si>
    <t>Current Yield:</t>
  </si>
  <si>
    <t>Monthly Dividend Coverage:</t>
  </si>
  <si>
    <t>2.5x</t>
  </si>
  <si>
    <t>Annual Div Growth Target:</t>
  </si>
  <si>
    <t>1 dividend increases</t>
  </si>
  <si>
    <t>Next Update:</t>
  </si>
  <si>
    <t>Weekly (Automated)</t>
  </si>
  <si>
    <t>+54.9% (21.93% → 33.98%)</t>
  </si>
  <si>
    <t>DIVIDEND SUMMARY</t>
  </si>
  <si>
    <t>Monthly Dividend Target:</t>
  </si>
  <si>
    <t>Current Monthly Estimate:</t>
  </si>
  <si>
    <t>Annual Dividend Target:</t>
  </si>
  <si>
    <t>Current Annual Estimate:</t>
  </si>
  <si>
    <t>NET DIVIDEND INCOME</t>
  </si>
  <si>
    <t>After Withdrawals (Monthly):</t>
  </si>
  <si>
    <t>After Withdrawals (Annual):</t>
  </si>
  <si>
    <t>YTD Dividends Received:</t>
  </si>
  <si>
    <t>See All Account weekly dividends sheet</t>
  </si>
  <si>
    <t>Portfolio Values 2025 - Live Data Updated: August 23, 2025 at 05:11 PM</t>
  </si>
  <si>
    <t>8/23/2025</t>
  </si>
  <si>
    <t>09/01/2025</t>
  </si>
  <si>
    <t>09/06/2025</t>
  </si>
  <si>
    <t>2025-09-13</t>
  </si>
  <si>
    <t>2025-09-20</t>
  </si>
  <si>
    <t>2025-09-27</t>
  </si>
  <si>
    <t>2025-10-05</t>
  </si>
  <si>
    <t>2025-10-19</t>
  </si>
  <si>
    <t>2025-10-25</t>
  </si>
  <si>
    <t>2025-11-01</t>
  </si>
  <si>
    <t>401k Retirement (Manual)</t>
  </si>
  <si>
    <t>TOTAL PORTFOLIO</t>
  </si>
  <si>
    <t>📊 Dividend Income Tracking &amp; Progression (Starting 12/29/24)</t>
  </si>
  <si>
    <t>12/29/2024</t>
  </si>
  <si>
    <t>01/05/2025</t>
  </si>
  <si>
    <t>01/12/2025</t>
  </si>
  <si>
    <t xml:space="preserve"> </t>
  </si>
  <si>
    <t>01/26/2025</t>
  </si>
  <si>
    <t>02/02/2025</t>
  </si>
  <si>
    <t>02/09/2025</t>
  </si>
  <si>
    <t>02/16/2025</t>
  </si>
  <si>
    <t>02/23/2025</t>
  </si>
  <si>
    <t>03/02/2025</t>
  </si>
  <si>
    <t>03/09/2025</t>
  </si>
  <si>
    <t>03/16/2025</t>
  </si>
  <si>
    <t>03/23/2025</t>
  </si>
  <si>
    <t>03/30/2025</t>
  </si>
  <si>
    <t>04/06/2025</t>
  </si>
  <si>
    <t>04/13/2025</t>
  </si>
  <si>
    <t>04/20/2025</t>
  </si>
  <si>
    <t>04/27/2025</t>
  </si>
  <si>
    <t>05/04/2025</t>
  </si>
  <si>
    <t>05/11/2025</t>
  </si>
  <si>
    <t>05/18/2025</t>
  </si>
  <si>
    <t>05/25/2025</t>
  </si>
  <si>
    <t>06/01/2025</t>
  </si>
  <si>
    <t>06/08/2025</t>
  </si>
  <si>
    <t>06/15/2025</t>
  </si>
  <si>
    <t>06/22/2025</t>
  </si>
  <si>
    <t>06/29/2025</t>
  </si>
  <si>
    <t>07/06/2025</t>
  </si>
  <si>
    <t>07/13/2025</t>
  </si>
  <si>
    <t>07/20/2025</t>
  </si>
  <si>
    <t>07/27/2025</t>
  </si>
  <si>
    <t>08/03/2025</t>
  </si>
  <si>
    <t>8/24/2025</t>
  </si>
  <si>
    <t>09/02/2025</t>
  </si>
  <si>
    <t>2025-09-07</t>
  </si>
  <si>
    <t>2025-10-11</t>
  </si>
  <si>
    <t>2025-10-13</t>
  </si>
  <si>
    <t>Monthly Average</t>
  </si>
  <si>
    <t>Ticker</t>
  </si>
  <si>
    <t>Qty #</t>
  </si>
  <si>
    <t>Price Paid $</t>
  </si>
  <si>
    <t>Last Price $</t>
  </si>
  <si>
    <t>Change $</t>
  </si>
  <si>
    <t>Change %</t>
  </si>
  <si>
    <t>Current Value $</t>
  </si>
  <si>
    <t>Original Value $</t>
  </si>
  <si>
    <t>Total Gain</t>
  </si>
  <si>
    <t>Pay Date</t>
  </si>
  <si>
    <t>Payment cycle</t>
  </si>
  <si>
    <t>Rate per share</t>
  </si>
  <si>
    <t>Original Payment amount</t>
  </si>
  <si>
    <t>New Payment amount</t>
  </si>
  <si>
    <t>Beginning Dividend Yield</t>
  </si>
  <si>
    <t>11/01/2025</t>
  </si>
  <si>
    <t>10/25/2025</t>
  </si>
  <si>
    <t>10/19/2025</t>
  </si>
  <si>
    <t>10/13/2025</t>
  </si>
  <si>
    <t>10/05/2025</t>
  </si>
  <si>
    <t>09/28/2025</t>
  </si>
  <si>
    <t>09/20/2025</t>
  </si>
  <si>
    <t>09/15/2025</t>
  </si>
  <si>
    <t>09-06-2025</t>
  </si>
  <si>
    <t>08-30-2025</t>
  </si>
  <si>
    <t>08-25-2025</t>
  </si>
  <si>
    <t>08-16-2025</t>
  </si>
  <si>
    <t>08-09-2025</t>
  </si>
  <si>
    <t>08-02-2025</t>
  </si>
  <si>
    <t>07-28-2025</t>
  </si>
  <si>
    <t>07-19-2025</t>
  </si>
  <si>
    <t>07-12-2025</t>
  </si>
  <si>
    <t>07-04-2025</t>
  </si>
  <si>
    <t>06-29-2025</t>
  </si>
  <si>
    <t>06-21-2025</t>
  </si>
  <si>
    <t>06-15-2025</t>
  </si>
  <si>
    <t>06-08-2025</t>
  </si>
  <si>
    <t>06-03-2025</t>
  </si>
  <si>
    <t>05-25-2025</t>
  </si>
  <si>
    <t>05-10-2025</t>
  </si>
  <si>
    <t>05-03-2025</t>
  </si>
  <si>
    <t>04-26-2025</t>
  </si>
  <si>
    <t>04-19-2025</t>
  </si>
  <si>
    <t>04-12-2025</t>
  </si>
  <si>
    <t>AGNC</t>
  </si>
  <si>
    <t>Monthly</t>
  </si>
  <si>
    <t>DX</t>
  </si>
  <si>
    <t>ECC</t>
  </si>
  <si>
    <t>QDTE</t>
  </si>
  <si>
    <t>Weekly</t>
  </si>
  <si>
    <t>QQQI</t>
  </si>
  <si>
    <t>NVDW</t>
  </si>
  <si>
    <t>XOMO</t>
  </si>
  <si>
    <t>Schwab individual</t>
  </si>
  <si>
    <t>Etrade IRA</t>
  </si>
  <si>
    <t>ABR</t>
  </si>
  <si>
    <t>Quarterly</t>
  </si>
  <si>
    <t>ACP</t>
  </si>
  <si>
    <t>BITO</t>
  </si>
  <si>
    <t>BRSP</t>
  </si>
  <si>
    <t>CHMI</t>
  </si>
  <si>
    <t>DSL</t>
  </si>
  <si>
    <t>EIC</t>
  </si>
  <si>
    <t>MORT</t>
  </si>
  <si>
    <t>OFS</t>
  </si>
  <si>
    <t>PDI</t>
  </si>
  <si>
    <t>Etrade</t>
  </si>
  <si>
    <t>RYLD</t>
  </si>
  <si>
    <t>SVOL</t>
  </si>
  <si>
    <t>Etrade Taxable</t>
  </si>
  <si>
    <t>10/18/2025</t>
  </si>
  <si>
    <t>MSFW</t>
  </si>
  <si>
    <t>Current Price $</t>
  </si>
  <si>
    <t>Day Change $</t>
  </si>
  <si>
    <t>Price Change $</t>
  </si>
  <si>
    <t>Total Gain $</t>
  </si>
  <si>
    <t>Total Gain %</t>
  </si>
  <si>
    <t>Payment Cycle</t>
  </si>
  <si>
    <t>Dividend/Share</t>
  </si>
  <si>
    <t>Monthly Dividend $</t>
  </si>
  <si>
    <t>Annual Dividend $</t>
  </si>
  <si>
    <t>Current Yield %</t>
  </si>
  <si>
    <t>Previous Yield %</t>
  </si>
  <si>
    <t>Yield Change %</t>
  </si>
  <si>
    <t>Yield Status</t>
  </si>
  <si>
    <t>Last Updated</t>
  </si>
  <si>
    <t>Increased</t>
  </si>
  <si>
    <t>09/09/2025 09:03</t>
  </si>
  <si>
    <t>Schwab</t>
  </si>
  <si>
    <t>Stable</t>
  </si>
  <si>
    <t>NHS</t>
  </si>
  <si>
    <t>QYLD</t>
  </si>
  <si>
    <t>TOTALS</t>
  </si>
  <si>
    <t>Yield Tracking:</t>
  </si>
  <si>
    <t>• Green: Yield increased</t>
  </si>
  <si>
    <t>• Red: Yield decreased</t>
  </si>
  <si>
    <t>• Yellow: Yield stable</t>
  </si>
  <si>
    <t>• Updates automatically with each run</t>
  </si>
  <si>
    <t>Sector ETF's</t>
  </si>
  <si>
    <t xml:space="preserve">VTI </t>
  </si>
  <si>
    <t>XLF</t>
  </si>
  <si>
    <t>XLK</t>
  </si>
  <si>
    <t>XLE</t>
  </si>
  <si>
    <t>XLI</t>
  </si>
  <si>
    <t>XLC</t>
  </si>
  <si>
    <t>XLV</t>
  </si>
  <si>
    <t>XLY</t>
  </si>
  <si>
    <t>XLP</t>
  </si>
  <si>
    <t>XLU</t>
  </si>
  <si>
    <t>XLB</t>
  </si>
  <si>
    <t>XLRE</t>
  </si>
  <si>
    <t>Technology Sectors:</t>
  </si>
  <si>
    <t>XLK (Technology Select Sector), FTEC (Fidelity Tech), VGT (Vanguard Tech)</t>
  </si>
  <si>
    <t>Financial Services:</t>
  </si>
  <si>
    <t>XLF (Financial Sector), KBE (Banking), KRE (Regional Banks)</t>
  </si>
  <si>
    <t>Healthcare &amp; Biotech:</t>
  </si>
  <si>
    <t>XLV (Healthcare), IBB (Biotech), XBI (Biotech)</t>
  </si>
  <si>
    <t>Energy &amp; Oil:</t>
  </si>
  <si>
    <t>XLE (Energy), XOP (Oil &amp; Gas), OIH (Oil Services)</t>
  </si>
  <si>
    <t>Consumer Sectors:</t>
  </si>
  <si>
    <t>XLY (Consumer Discretionary), XLP (Consumer Staples), XRT (Retail)</t>
  </si>
  <si>
    <t>Industrial &amp; Materials:</t>
  </si>
  <si>
    <t>XLI (Industrial), XLB (Materials), XME (Metals &amp; Mining)</t>
  </si>
  <si>
    <t>Real Estate &amp; Utilities:</t>
  </si>
  <si>
    <t>XLRE (Real Estate), VNQ (Real Estate), XLU (Utilities)</t>
  </si>
  <si>
    <t>Communications:</t>
  </si>
  <si>
    <t>XLC (Communications), IYZ (Telecommunications)</t>
  </si>
  <si>
    <t>Original pay</t>
  </si>
  <si>
    <t>New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</si>
</sst>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\-dd"/>
    <numFmt numFmtId="166" formatCode="mm/dd/yyyy"/>
    <numFmt numFmtId="167" formatCode="\$#,##0.00"/>
    <numFmt numFmtId="168" formatCode="0.0%"/>
    <numFmt numFmtId="169" formatCode="0.0&quot;x&quot;"/>
    <numFmt numFmtId="170" formatCode="&quot;$&quot;#,##0.00_-"/>
    <numFmt numFmtId="171" formatCode="yyyy\-mm\-dd;@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4"/>
      <color rgb="FF1F4E79"/>
      <name val="Calibri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b/>
      <sz val="16"/>
      <color rgb="FFC0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228B22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sz val="12"/>
      <color rgb="FFDC143C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b/>
      <sz val="11"/>
      <name val="Calibri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228B22"/>
      <name val="Arial"/>
      <family val="2"/>
    </font>
    <font>
      <b/>
      <sz val="12"/>
      <color rgb="FF228B22"/>
      <name val="Arial"/>
      <family val="2"/>
    </font>
    <font>
      <b/>
      <sz val="12"/>
      <color rgb="FFFFFFFF"/>
      <name val="Arial"/>
      <family val="2"/>
    </font>
    <font>
      <b/>
      <sz val="11"/>
      <name val="Calibri"/>
      <family val="2"/>
    </font>
    <font>
      <sz val="12"/>
      <color rgb="FFFF000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rgb="FF3072C2"/>
      <name val="Arial"/>
      <family val="2"/>
    </font>
    <font>
      <sz val="12"/>
      <color rgb="FF228B22"/>
      <name val="Arial"/>
      <family val="2"/>
    </font>
    <font>
      <b/>
      <sz val="12"/>
      <color rgb="FF3072C2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3072C2"/>
      <name val="Arial"/>
      <family val="2"/>
    </font>
    <font>
      <sz val="12"/>
      <name val="Calibri"/>
      <family val="2"/>
    </font>
    <font>
      <b/>
      <sz val="12"/>
      <color rgb="FF3072C2"/>
      <name val="Arial"/>
      <family val="2"/>
    </font>
    <font>
      <sz val="12"/>
      <name val="Arial"/>
    </font>
    <font>
      <b/>
      <sz val="12"/>
      <name val="Arial"/>
    </font>
    <font>
      <b/>
      <sz val="12"/>
      <color rgb="FFFFFFFF"/>
      <name val="Arial"/>
    </font>
    <font>
      <sz val="12"/>
      <color rgb="FF228B22"/>
      <name val="Arial"/>
    </font>
    <font>
      <b/>
      <sz val="12"/>
      <color rgb="FFFFFFFF"/>
      <name val="Arial"/>
    </font>
    <font>
      <sz val="12"/>
      <color rgb="FFFF0000"/>
      <name val="Arial"/>
    </font>
    <font>
      <b/>
      <sz val="12"/>
      <color rgb="FFFFFFFF"/>
      <name val="Arial"/>
    </font>
    <font>
      <b/>
      <sz val="12"/>
      <color rgb="FF3072C2"/>
      <name val="Arial"/>
    </font>
    <font>
      <sz val="12"/>
      <name val="Calibri"/>
    </font>
    <font>
      <b/>
      <sz val="12"/>
      <color rgb="FF228B22"/>
      <name val="Arial"/>
    </font>
    <font>
      <sz val="12"/>
      <color rgb="FFFF0000"/>
      <name val="Arial"/>
    </font>
    <font>
      <sz val="12"/>
      <color rgb="FF228B22"/>
      <name val="Arial"/>
    </font>
  </fonts>
  <fills count="99">
    <fill>
      <patternFill patternType="none"/>
    </fill>
    <fill>
      <patternFill patternType="gray125"/>
    </fill>
    <fill>
      <patternFill patternType="solid">
        <fgColor rgb="FF00FF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D9E2F3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rgb="FFB7DEE8"/>
      </patternFill>
    </fill>
    <fill>
      <patternFill patternType="solid">
        <fgColor rgb="FF4F81BD"/>
        <bgColor rgb="FF4F81BD"/>
      </patternFill>
    </fill>
    <fill>
      <patternFill patternType="solid">
        <fgColor rgb="FF4F81BD"/>
        <bgColor rgb="FF4F81BD"/>
      </patternFill>
    </fill>
    <fill>
      <patternFill patternType="solid">
        <fgColor rgb="FF90EE90"/>
        <bgColor rgb="FF90EE90"/>
      </patternFill>
    </fill>
    <fill>
      <patternFill patternType="solid">
        <fgColor rgb="FFFFFF00"/>
        <bgColor rgb="FFFFFFE0"/>
      </patternFill>
    </fill>
    <fill>
      <patternFill patternType="solid">
        <fgColor rgb="FFFF7C80"/>
        <bgColor rgb="FFFFB6C1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F7C80"/>
      </patternFill>
    </fill>
    <fill>
      <patternFill patternType="solid">
        <fgColor rgb="FFFF7C80"/>
        <bgColor rgb="FF90EE90"/>
      </patternFill>
    </fill>
    <fill>
      <patternFill patternType="solid">
        <fgColor rgb="FF90EE90"/>
        <bgColor indexed="64"/>
      </patternFill>
    </fill>
    <fill>
      <patternFill patternType="solid">
        <fgColor rgb="FF90EE90"/>
        <bgColor rgb="FFFF7C80"/>
      </patternFill>
    </fill>
    <fill>
      <patternFill patternType="solid">
        <fgColor rgb="FF90EE90"/>
        <bgColor rgb="FF00B050"/>
      </patternFill>
    </fill>
    <fill>
      <patternFill patternType="solid">
        <fgColor rgb="FF90EE90"/>
        <bgColor rgb="FFD9E2F3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4F81BD"/>
        <bgColor rgb="FF4F81BD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90EE90"/>
        <bgColor rgb="FF90EE90"/>
      </patternFill>
    </fill>
    <fill>
      <patternFill patternType="solid">
        <fgColor rgb="FF4F81BD"/>
        <bgColor rgb="FF4F81BD"/>
      </patternFill>
    </fill>
    <fill>
      <patternFill patternType="solid">
        <fgColor rgb="FF90EE90"/>
        <bgColor rgb="FF90EE90"/>
      </patternFill>
    </fill>
    <fill>
      <patternFill patternType="solid">
        <fgColor rgb="FF4472C4"/>
        <bgColor rgb="FF4472C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0EE90"/>
        <bgColor rgb="FFE6F3FF"/>
      </patternFill>
    </fill>
    <fill>
      <patternFill patternType="solid">
        <fgColor rgb="FFFFFF00"/>
        <bgColor rgb="FF90EE9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4F81BD"/>
        <bgColor rgb="FF4F81BD"/>
      </patternFill>
    </fill>
    <fill>
      <patternFill patternType="solid">
        <fgColor rgb="FFFF7C80"/>
        <bgColor rgb="FFFF7C80"/>
      </patternFill>
    </fill>
    <fill>
      <patternFill patternType="solid">
        <fgColor rgb="FF90EE90"/>
        <bgColor rgb="FFFFFF00"/>
      </patternFill>
    </fill>
    <fill>
      <patternFill patternType="solid">
        <fgColor rgb="FFFF7C8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7C80"/>
        <bgColor rgb="FFFF7C8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D9E2F3"/>
        <bgColor rgb="FFB7DEE8"/>
      </patternFill>
    </fill>
    <fill>
      <patternFill patternType="solid">
        <fgColor rgb="FF4F81BD"/>
        <bgColor rgb="FF4F81BD"/>
      </patternFill>
    </fill>
    <fill>
      <patternFill patternType="solid">
        <fgColor rgb="FF90EE90"/>
        <bgColor rgb="FF90EE90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rgb="FF90EE90"/>
      </patternFill>
    </fill>
    <fill>
      <patternFill patternType="solid">
        <fgColor rgb="FFFF0000"/>
        <bgColor rgb="FFFF7C80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7C80"/>
        <bgColor rgb="FFFF7C8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4F81BD"/>
        <bgColor rgb="FF4F81BD"/>
      </patternFill>
    </fill>
    <fill>
      <patternFill patternType="solid">
        <fgColor rgb="FFFF7C80"/>
        <bgColor rgb="FFFF7C80"/>
      </patternFill>
    </fill>
    <fill>
      <patternFill patternType="solid">
        <fgColor rgb="FF90EE90"/>
        <bgColor rgb="FF90EE9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F7C80"/>
        <bgColor rgb="FFFF7C80"/>
      </patternFill>
    </fill>
    <fill>
      <patternFill patternType="solid">
        <fgColor rgb="FF00FF00"/>
        <bgColor rgb="FF00FF00"/>
      </patternFill>
    </fill>
    <fill>
      <patternFill patternType="solid">
        <fgColor rgb="FF4F81BD"/>
        <bgColor rgb="FF4F81BD"/>
      </patternFill>
    </fill>
    <fill>
      <patternFill patternType="solid">
        <fgColor rgb="FF90EE90"/>
        <bgColor rgb="FF90EE90"/>
      </patternFill>
    </fill>
    <fill>
      <patternFill patternType="solid">
        <fgColor rgb="FFFF7C80"/>
        <bgColor rgb="FFFF7C8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F81BD"/>
        <bgColor rgb="FF4F81BD"/>
      </patternFill>
    </fill>
    <fill>
      <patternFill patternType="solid">
        <fgColor rgb="FF90EE90"/>
        <bgColor rgb="FF90EE90"/>
      </patternFill>
    </fill>
    <fill>
      <patternFill patternType="solid">
        <fgColor rgb="FFFF7C80"/>
        <bgColor rgb="FFFF7C8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F81BD"/>
        <bgColor rgb="FF4F81BD"/>
      </patternFill>
    </fill>
    <fill>
      <patternFill patternType="solid">
        <fgColor rgb="FF90EE90"/>
        <bgColor rgb="FF90EE90"/>
      </patternFill>
    </fill>
    <fill>
      <patternFill patternType="solid">
        <fgColor rgb="FFFF7C80"/>
        <bgColor rgb="FFFF7C8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5D9F1"/>
        <bgColor rgb="FFC5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/>
    <xf numFmtId="9" fontId="1" fillId="0" borderId="0"/>
    <xf numFmtId="0" fontId="15" fillId="10" borderId="0"/>
  </cellStyleXfs>
  <cellXfs count="290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4" fillId="0" borderId="0" xfId="0" applyFont="1"/>
    <xf numFmtId="2" fontId="5" fillId="0" borderId="0" xfId="0" applyNumberFormat="1" applyFont="1"/>
    <xf numFmtId="0" fontId="5" fillId="0" borderId="0" xfId="0" applyFont="1"/>
    <xf numFmtId="10" fontId="5" fillId="0" borderId="0" xfId="0" applyNumberFormat="1" applyFont="1"/>
    <xf numFmtId="164" fontId="5" fillId="0" borderId="0" xfId="0" applyNumberFormat="1" applyFont="1"/>
    <xf numFmtId="164" fontId="1" fillId="0" borderId="0" xfId="1" applyNumberFormat="1"/>
    <xf numFmtId="165" fontId="5" fillId="0" borderId="0" xfId="0" applyNumberFormat="1" applyFont="1"/>
    <xf numFmtId="2" fontId="0" fillId="0" borderId="0" xfId="0" applyNumberFormat="1"/>
    <xf numFmtId="49" fontId="5" fillId="0" borderId="0" xfId="0" applyNumberFormat="1" applyFont="1"/>
    <xf numFmtId="0" fontId="0" fillId="2" borderId="0" xfId="0" applyFill="1"/>
    <xf numFmtId="2" fontId="4" fillId="0" borderId="0" xfId="0" applyNumberFormat="1" applyFont="1"/>
    <xf numFmtId="165" fontId="0" fillId="0" borderId="0" xfId="0" applyNumberFormat="1"/>
    <xf numFmtId="0" fontId="0" fillId="0" borderId="0" xfId="2" applyNumberFormat="1" applyFont="1"/>
    <xf numFmtId="166" fontId="0" fillId="0" borderId="0" xfId="0" applyNumberFormat="1"/>
    <xf numFmtId="0" fontId="7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4" fontId="3" fillId="4" borderId="0" xfId="0" applyNumberFormat="1" applyFont="1" applyFill="1"/>
    <xf numFmtId="14" fontId="8" fillId="5" borderId="0" xfId="0" applyNumberFormat="1" applyFont="1" applyFill="1"/>
    <xf numFmtId="0" fontId="9" fillId="0" borderId="0" xfId="0" applyFont="1"/>
    <xf numFmtId="167" fontId="9" fillId="0" borderId="0" xfId="0" applyNumberFormat="1" applyFont="1"/>
    <xf numFmtId="8" fontId="9" fillId="0" borderId="0" xfId="0" applyNumberFormat="1" applyFont="1"/>
    <xf numFmtId="10" fontId="9" fillId="0" borderId="0" xfId="0" applyNumberFormat="1" applyFont="1"/>
    <xf numFmtId="14" fontId="3" fillId="4" borderId="1" xfId="0" applyNumberFormat="1" applyFont="1" applyFill="1" applyBorder="1" applyAlignment="1">
      <alignment horizontal="center"/>
    </xf>
    <xf numFmtId="167" fontId="6" fillId="0" borderId="0" xfId="0" applyNumberFormat="1" applyFont="1" applyAlignment="1">
      <alignment horizontal="right"/>
    </xf>
    <xf numFmtId="0" fontId="10" fillId="6" borderId="0" xfId="0" applyFont="1" applyFill="1" applyAlignment="1">
      <alignment horizontal="right"/>
    </xf>
    <xf numFmtId="0" fontId="11" fillId="0" borderId="0" xfId="0" applyFont="1"/>
    <xf numFmtId="167" fontId="11" fillId="0" borderId="0" xfId="0" applyNumberFormat="1" applyFont="1"/>
    <xf numFmtId="168" fontId="11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right"/>
    </xf>
    <xf numFmtId="0" fontId="12" fillId="8" borderId="0" xfId="0" applyFont="1" applyFill="1"/>
    <xf numFmtId="0" fontId="12" fillId="9" borderId="0" xfId="0" applyFont="1" applyFill="1"/>
    <xf numFmtId="0" fontId="12" fillId="0" borderId="0" xfId="0" applyFont="1"/>
    <xf numFmtId="168" fontId="11" fillId="0" borderId="0" xfId="0" applyNumberFormat="1" applyFont="1" applyAlignment="1">
      <alignment horizontal="left"/>
    </xf>
    <xf numFmtId="164" fontId="4" fillId="0" borderId="1" xfId="0" applyNumberFormat="1" applyFont="1" applyBorder="1" applyAlignment="1">
      <alignment wrapText="1"/>
    </xf>
    <xf numFmtId="10" fontId="1" fillId="0" borderId="0" xfId="2" applyNumberFormat="1"/>
    <xf numFmtId="168" fontId="15" fillId="10" borderId="0" xfId="3" applyNumberFormat="1" applyAlignment="1">
      <alignment horizontal="right"/>
    </xf>
    <xf numFmtId="0" fontId="17" fillId="0" borderId="0" xfId="0" applyFont="1"/>
    <xf numFmtId="170" fontId="17" fillId="0" borderId="0" xfId="0" applyNumberFormat="1" applyFont="1"/>
    <xf numFmtId="0" fontId="13" fillId="7" borderId="0" xfId="0" applyFont="1" applyFill="1" applyAlignment="1">
      <alignment horizontal="center"/>
    </xf>
    <xf numFmtId="0" fontId="18" fillId="12" borderId="0" xfId="0" applyFont="1" applyFill="1" applyAlignment="1">
      <alignment horizontal="center"/>
    </xf>
    <xf numFmtId="0" fontId="18" fillId="12" borderId="0" xfId="0" applyFont="1" applyFill="1"/>
    <xf numFmtId="0" fontId="17" fillId="8" borderId="0" xfId="0" applyFont="1" applyFill="1"/>
    <xf numFmtId="170" fontId="17" fillId="0" borderId="0" xfId="0" applyNumberFormat="1" applyFont="1" applyAlignment="1">
      <alignment horizontal="right"/>
    </xf>
    <xf numFmtId="167" fontId="17" fillId="0" borderId="0" xfId="0" applyNumberFormat="1" applyFont="1"/>
    <xf numFmtId="0" fontId="19" fillId="13" borderId="0" xfId="0" applyFont="1" applyFill="1" applyAlignment="1">
      <alignment horizontal="right"/>
    </xf>
    <xf numFmtId="170" fontId="16" fillId="0" borderId="0" xfId="0" applyNumberFormat="1" applyFont="1"/>
    <xf numFmtId="0" fontId="0" fillId="0" borderId="0" xfId="0" applyAlignment="1">
      <alignment wrapText="1"/>
    </xf>
    <xf numFmtId="166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164" fontId="5" fillId="0" borderId="1" xfId="0" applyNumberFormat="1" applyFont="1" applyBorder="1"/>
    <xf numFmtId="0" fontId="0" fillId="0" borderId="1" xfId="0" applyBorder="1"/>
    <xf numFmtId="0" fontId="5" fillId="0" borderId="1" xfId="0" applyFont="1" applyBorder="1"/>
    <xf numFmtId="167" fontId="12" fillId="0" borderId="1" xfId="0" applyNumberFormat="1" applyFont="1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168" fontId="22" fillId="0" borderId="0" xfId="0" applyNumberFormat="1" applyFont="1"/>
    <xf numFmtId="22" fontId="22" fillId="0" borderId="0" xfId="0" applyNumberFormat="1" applyFont="1"/>
    <xf numFmtId="10" fontId="0" fillId="25" borderId="0" xfId="0" applyNumberFormat="1" applyFill="1"/>
    <xf numFmtId="0" fontId="24" fillId="26" borderId="0" xfId="0" applyFont="1" applyFill="1" applyAlignment="1">
      <alignment horizontal="right"/>
    </xf>
    <xf numFmtId="170" fontId="25" fillId="0" borderId="0" xfId="0" applyNumberFormat="1" applyFont="1"/>
    <xf numFmtId="170" fontId="26" fillId="0" borderId="0" xfId="0" applyNumberFormat="1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170" fontId="28" fillId="0" borderId="0" xfId="0" applyNumberFormat="1" applyFont="1"/>
    <xf numFmtId="0" fontId="31" fillId="0" borderId="0" xfId="0" applyFont="1"/>
    <xf numFmtId="0" fontId="32" fillId="27" borderId="1" xfId="0" applyFont="1" applyFill="1" applyBorder="1" applyAlignment="1">
      <alignment horizontal="right"/>
    </xf>
    <xf numFmtId="14" fontId="32" fillId="27" borderId="1" xfId="0" applyNumberFormat="1" applyFont="1" applyFill="1" applyBorder="1" applyAlignment="1">
      <alignment horizontal="right"/>
    </xf>
    <xf numFmtId="0" fontId="32" fillId="27" borderId="0" xfId="0" applyFont="1" applyFill="1" applyAlignment="1">
      <alignment horizontal="right"/>
    </xf>
    <xf numFmtId="0" fontId="32" fillId="26" borderId="0" xfId="0" applyFont="1" applyFill="1" applyAlignment="1">
      <alignment horizontal="right"/>
    </xf>
    <xf numFmtId="0" fontId="28" fillId="0" borderId="1" xfId="0" applyFont="1" applyBorder="1"/>
    <xf numFmtId="170" fontId="28" fillId="14" borderId="1" xfId="0" applyNumberFormat="1" applyFont="1" applyFill="1" applyBorder="1"/>
    <xf numFmtId="170" fontId="28" fillId="15" borderId="1" xfId="0" applyNumberFormat="1" applyFont="1" applyFill="1" applyBorder="1"/>
    <xf numFmtId="170" fontId="28" fillId="16" borderId="1" xfId="0" applyNumberFormat="1" applyFont="1" applyFill="1" applyBorder="1"/>
    <xf numFmtId="170" fontId="28" fillId="17" borderId="1" xfId="0" applyNumberFormat="1" applyFont="1" applyFill="1" applyBorder="1"/>
    <xf numFmtId="170" fontId="28" fillId="19" borderId="0" xfId="0" applyNumberFormat="1" applyFont="1" applyFill="1" applyAlignment="1">
      <alignment horizontal="right"/>
    </xf>
    <xf numFmtId="170" fontId="28" fillId="20" borderId="1" xfId="0" applyNumberFormat="1" applyFont="1" applyFill="1" applyBorder="1"/>
    <xf numFmtId="170" fontId="28" fillId="0" borderId="1" xfId="0" applyNumberFormat="1" applyFont="1" applyBorder="1"/>
    <xf numFmtId="167" fontId="16" fillId="8" borderId="1" xfId="0" applyNumberFormat="1" applyFont="1" applyFill="1" applyBorder="1"/>
    <xf numFmtId="167" fontId="16" fillId="22" borderId="1" xfId="0" applyNumberFormat="1" applyFont="1" applyFill="1" applyBorder="1"/>
    <xf numFmtId="167" fontId="16" fillId="28" borderId="1" xfId="0" applyNumberFormat="1" applyFont="1" applyFill="1" applyBorder="1"/>
    <xf numFmtId="167" fontId="16" fillId="18" borderId="1" xfId="0" applyNumberFormat="1" applyFont="1" applyFill="1" applyBorder="1"/>
    <xf numFmtId="167" fontId="16" fillId="23" borderId="1" xfId="0" applyNumberFormat="1" applyFont="1" applyFill="1" applyBorder="1"/>
    <xf numFmtId="170" fontId="16" fillId="22" borderId="1" xfId="0" applyNumberFormat="1" applyFont="1" applyFill="1" applyBorder="1"/>
    <xf numFmtId="167" fontId="16" fillId="24" borderId="1" xfId="0" applyNumberFormat="1" applyFont="1" applyFill="1" applyBorder="1"/>
    <xf numFmtId="170" fontId="16" fillId="30" borderId="0" xfId="0" applyNumberFormat="1" applyFont="1" applyFill="1" applyAlignment="1">
      <alignment horizontal="right"/>
    </xf>
    <xf numFmtId="0" fontId="30" fillId="27" borderId="1" xfId="0" applyFont="1" applyFill="1" applyBorder="1" applyAlignment="1">
      <alignment horizontal="right"/>
    </xf>
    <xf numFmtId="14" fontId="33" fillId="31" borderId="0" xfId="0" applyNumberFormat="1" applyFont="1" applyFill="1" applyAlignment="1">
      <alignment horizontal="right"/>
    </xf>
    <xf numFmtId="170" fontId="28" fillId="32" borderId="0" xfId="0" applyNumberFormat="1" applyFont="1" applyFill="1"/>
    <xf numFmtId="0" fontId="34" fillId="33" borderId="0" xfId="0" applyFont="1" applyFill="1" applyAlignment="1">
      <alignment horizontal="center"/>
    </xf>
    <xf numFmtId="0" fontId="0" fillId="34" borderId="0" xfId="0" applyFill="1"/>
    <xf numFmtId="0" fontId="0" fillId="35" borderId="0" xfId="0" applyFill="1"/>
    <xf numFmtId="0" fontId="35" fillId="0" borderId="0" xfId="0" applyFont="1"/>
    <xf numFmtId="164" fontId="35" fillId="0" borderId="0" xfId="0" applyNumberFormat="1" applyFont="1"/>
    <xf numFmtId="170" fontId="28" fillId="21" borderId="0" xfId="0" applyNumberFormat="1" applyFont="1" applyFill="1"/>
    <xf numFmtId="170" fontId="28" fillId="37" borderId="0" xfId="0" applyNumberFormat="1" applyFont="1" applyFill="1"/>
    <xf numFmtId="170" fontId="28" fillId="38" borderId="0" xfId="0" applyNumberFormat="1" applyFont="1" applyFill="1" applyAlignment="1">
      <alignment horizontal="right"/>
    </xf>
    <xf numFmtId="170" fontId="28" fillId="32" borderId="0" xfId="0" applyNumberFormat="1" applyFont="1" applyFill="1" applyAlignment="1">
      <alignment horizontal="right"/>
    </xf>
    <xf numFmtId="170" fontId="28" fillId="18" borderId="0" xfId="0" applyNumberFormat="1" applyFont="1" applyFill="1" applyAlignment="1">
      <alignment horizontal="right"/>
    </xf>
    <xf numFmtId="170" fontId="28" fillId="19" borderId="0" xfId="0" applyNumberFormat="1" applyFont="1" applyFill="1"/>
    <xf numFmtId="170" fontId="16" fillId="19" borderId="0" xfId="0" applyNumberFormat="1" applyFont="1" applyFill="1" applyAlignment="1">
      <alignment horizontal="right"/>
    </xf>
    <xf numFmtId="164" fontId="0" fillId="36" borderId="0" xfId="0" applyNumberFormat="1" applyFill="1"/>
    <xf numFmtId="0" fontId="0" fillId="39" borderId="0" xfId="0" applyFill="1"/>
    <xf numFmtId="0" fontId="0" fillId="40" borderId="0" xfId="0" applyFill="1"/>
    <xf numFmtId="10" fontId="1" fillId="36" borderId="0" xfId="2" applyNumberFormat="1" applyFill="1"/>
    <xf numFmtId="0" fontId="6" fillId="0" borderId="0" xfId="0" applyFont="1"/>
    <xf numFmtId="167" fontId="6" fillId="0" borderId="0" xfId="0" applyNumberFormat="1" applyFont="1"/>
    <xf numFmtId="14" fontId="36" fillId="41" borderId="0" xfId="0" applyNumberFormat="1" applyFont="1" applyFill="1" applyAlignment="1">
      <alignment horizontal="right"/>
    </xf>
    <xf numFmtId="170" fontId="37" fillId="42" borderId="0" xfId="0" applyNumberFormat="1" applyFont="1" applyFill="1"/>
    <xf numFmtId="170" fontId="38" fillId="0" borderId="0" xfId="0" applyNumberFormat="1" applyFont="1"/>
    <xf numFmtId="170" fontId="37" fillId="43" borderId="0" xfId="0" applyNumberFormat="1" applyFont="1" applyFill="1"/>
    <xf numFmtId="170" fontId="37" fillId="44" borderId="0" xfId="0" applyNumberFormat="1" applyFont="1" applyFill="1"/>
    <xf numFmtId="14" fontId="39" fillId="45" borderId="0" xfId="0" applyNumberFormat="1" applyFont="1" applyFill="1" applyAlignment="1">
      <alignment horizontal="right"/>
    </xf>
    <xf numFmtId="170" fontId="38" fillId="46" borderId="0" xfId="0" applyNumberFormat="1" applyFont="1" applyFill="1"/>
    <xf numFmtId="0" fontId="0" fillId="47" borderId="0" xfId="0" applyFill="1"/>
    <xf numFmtId="2" fontId="0" fillId="47" borderId="0" xfId="0" applyNumberFormat="1" applyFill="1"/>
    <xf numFmtId="164" fontId="0" fillId="47" borderId="0" xfId="0" applyNumberFormat="1" applyFill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4" fillId="0" borderId="1" xfId="1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0" fontId="2" fillId="0" borderId="1" xfId="2" applyNumberFormat="1" applyFont="1" applyBorder="1" applyAlignment="1">
      <alignment wrapText="1"/>
    </xf>
    <xf numFmtId="0" fontId="0" fillId="25" borderId="0" xfId="0" applyFill="1"/>
    <xf numFmtId="10" fontId="0" fillId="34" borderId="0" xfId="0" applyNumberFormat="1" applyFill="1"/>
    <xf numFmtId="0" fontId="0" fillId="48" borderId="0" xfId="0" applyFill="1"/>
    <xf numFmtId="164" fontId="4" fillId="0" borderId="1" xfId="0" applyNumberFormat="1" applyFont="1" applyBorder="1"/>
    <xf numFmtId="164" fontId="4" fillId="0" borderId="0" xfId="0" applyNumberFormat="1" applyFont="1"/>
    <xf numFmtId="14" fontId="40" fillId="49" borderId="0" xfId="0" applyNumberFormat="1" applyFont="1" applyFill="1" applyAlignment="1">
      <alignment horizontal="right"/>
    </xf>
    <xf numFmtId="170" fontId="42" fillId="0" borderId="0" xfId="0" applyNumberFormat="1" applyFont="1"/>
    <xf numFmtId="0" fontId="16" fillId="0" borderId="0" xfId="0" applyFont="1"/>
    <xf numFmtId="170" fontId="41" fillId="20" borderId="0" xfId="0" applyNumberFormat="1" applyFont="1" applyFill="1"/>
    <xf numFmtId="170" fontId="41" fillId="43" borderId="0" xfId="0" applyNumberFormat="1" applyFont="1" applyFill="1"/>
    <xf numFmtId="170" fontId="41" fillId="17" borderId="0" xfId="0" applyNumberFormat="1" applyFont="1" applyFill="1"/>
    <xf numFmtId="170" fontId="42" fillId="17" borderId="0" xfId="0" applyNumberFormat="1" applyFont="1" applyFill="1"/>
    <xf numFmtId="164" fontId="9" fillId="0" borderId="0" xfId="0" applyNumberFormat="1" applyFont="1"/>
    <xf numFmtId="164" fontId="43" fillId="0" borderId="0" xfId="1" applyNumberFormat="1" applyFont="1"/>
    <xf numFmtId="0" fontId="18" fillId="12" borderId="0" xfId="0" applyFont="1" applyFill="1" applyAlignment="1">
      <alignment horizontal="right"/>
    </xf>
    <xf numFmtId="14" fontId="46" fillId="51" borderId="0" xfId="0" applyNumberFormat="1" applyFont="1" applyFill="1" applyAlignment="1">
      <alignment horizontal="right"/>
    </xf>
    <xf numFmtId="170" fontId="44" fillId="0" borderId="0" xfId="0" applyNumberFormat="1" applyFont="1"/>
    <xf numFmtId="170" fontId="45" fillId="17" borderId="0" xfId="0" applyNumberFormat="1" applyFont="1" applyFill="1"/>
    <xf numFmtId="170" fontId="45" fillId="44" borderId="0" xfId="0" applyNumberFormat="1" applyFont="1" applyFill="1"/>
    <xf numFmtId="170" fontId="37" fillId="52" borderId="0" xfId="0" applyNumberFormat="1" applyFont="1" applyFill="1"/>
    <xf numFmtId="170" fontId="45" fillId="20" borderId="0" xfId="0" applyNumberFormat="1" applyFont="1" applyFill="1"/>
    <xf numFmtId="170" fontId="44" fillId="20" borderId="0" xfId="0" applyNumberFormat="1" applyFont="1" applyFill="1"/>
    <xf numFmtId="0" fontId="0" fillId="53" borderId="0" xfId="0" applyFill="1"/>
    <xf numFmtId="2" fontId="0" fillId="53" borderId="0" xfId="0" applyNumberFormat="1" applyFill="1"/>
    <xf numFmtId="164" fontId="0" fillId="53" borderId="0" xfId="0" applyNumberFormat="1" applyFill="1"/>
    <xf numFmtId="2" fontId="5" fillId="0" borderId="0" xfId="2" applyNumberFormat="1" applyFont="1"/>
    <xf numFmtId="0" fontId="0" fillId="54" borderId="0" xfId="0" applyFill="1"/>
    <xf numFmtId="0" fontId="47" fillId="0" borderId="0" xfId="0" applyFont="1"/>
    <xf numFmtId="10" fontId="0" fillId="56" borderId="0" xfId="0" applyNumberFormat="1" applyFill="1"/>
    <xf numFmtId="10" fontId="0" fillId="57" borderId="0" xfId="0" applyNumberFormat="1" applyFill="1"/>
    <xf numFmtId="10" fontId="0" fillId="36" borderId="0" xfId="0" applyNumberFormat="1" applyFill="1"/>
    <xf numFmtId="164" fontId="0" fillId="55" borderId="0" xfId="0" applyNumberFormat="1" applyFill="1"/>
    <xf numFmtId="0" fontId="49" fillId="0" borderId="0" xfId="0" applyFont="1"/>
    <xf numFmtId="14" fontId="50" fillId="58" borderId="0" xfId="0" applyNumberFormat="1" applyFont="1" applyFill="1" applyAlignment="1">
      <alignment horizontal="right"/>
    </xf>
    <xf numFmtId="170" fontId="49" fillId="60" borderId="0" xfId="0" applyNumberFormat="1" applyFont="1" applyFill="1"/>
    <xf numFmtId="170" fontId="48" fillId="0" borderId="0" xfId="0" applyNumberFormat="1" applyFont="1"/>
    <xf numFmtId="170" fontId="49" fillId="61" borderId="0" xfId="0" applyNumberFormat="1" applyFont="1" applyFill="1"/>
    <xf numFmtId="170" fontId="48" fillId="61" borderId="0" xfId="0" applyNumberFormat="1" applyFont="1" applyFill="1"/>
    <xf numFmtId="0" fontId="0" fillId="64" borderId="0" xfId="0" applyFill="1"/>
    <xf numFmtId="0" fontId="51" fillId="0" borderId="0" xfId="0" applyFont="1"/>
    <xf numFmtId="10" fontId="0" fillId="62" borderId="0" xfId="0" applyNumberFormat="1" applyFill="1"/>
    <xf numFmtId="10" fontId="0" fillId="63" borderId="0" xfId="0" applyNumberFormat="1" applyFill="1"/>
    <xf numFmtId="14" fontId="52" fillId="65" borderId="0" xfId="0" applyNumberFormat="1" applyFont="1" applyFill="1" applyAlignment="1">
      <alignment horizontal="right"/>
    </xf>
    <xf numFmtId="170" fontId="49" fillId="66" borderId="0" xfId="0" applyNumberFormat="1" applyFont="1" applyFill="1"/>
    <xf numFmtId="170" fontId="49" fillId="67" borderId="0" xfId="0" applyNumberFormat="1" applyFont="1" applyFill="1"/>
    <xf numFmtId="170" fontId="48" fillId="66" borderId="0" xfId="0" applyNumberFormat="1" applyFont="1" applyFill="1"/>
    <xf numFmtId="0" fontId="54" fillId="0" borderId="0" xfId="0" applyFont="1"/>
    <xf numFmtId="0" fontId="55" fillId="69" borderId="0" xfId="0" applyFont="1" applyFill="1" applyAlignment="1">
      <alignment horizontal="right"/>
    </xf>
    <xf numFmtId="14" fontId="56" fillId="70" borderId="0" xfId="0" applyNumberFormat="1" applyFont="1" applyFill="1" applyAlignment="1">
      <alignment horizontal="right"/>
    </xf>
    <xf numFmtId="170" fontId="49" fillId="71" borderId="0" xfId="0" applyNumberFormat="1" applyFont="1" applyFill="1"/>
    <xf numFmtId="170" fontId="48" fillId="71" borderId="0" xfId="0" applyNumberFormat="1" applyFont="1" applyFill="1"/>
    <xf numFmtId="0" fontId="0" fillId="74" borderId="0" xfId="0" applyFill="1"/>
    <xf numFmtId="10" fontId="0" fillId="72" borderId="0" xfId="0" applyNumberFormat="1" applyFill="1"/>
    <xf numFmtId="10" fontId="0" fillId="73" borderId="0" xfId="0" applyNumberFormat="1" applyFill="1"/>
    <xf numFmtId="0" fontId="53" fillId="0" borderId="0" xfId="0" applyFont="1"/>
    <xf numFmtId="0" fontId="58" fillId="0" borderId="0" xfId="0" applyFont="1"/>
    <xf numFmtId="168" fontId="6" fillId="0" borderId="0" xfId="0" applyNumberFormat="1" applyFont="1"/>
    <xf numFmtId="0" fontId="28" fillId="0" borderId="0" xfId="0" applyFont="1" applyAlignment="1">
      <alignment horizontal="right"/>
    </xf>
    <xf numFmtId="14" fontId="57" fillId="0" borderId="0" xfId="0" applyNumberFormat="1" applyFont="1"/>
    <xf numFmtId="0" fontId="14" fillId="78" borderId="0" xfId="0" applyFont="1" applyFill="1"/>
    <xf numFmtId="0" fontId="0" fillId="78" borderId="0" xfId="0" applyFill="1"/>
    <xf numFmtId="0" fontId="59" fillId="0" borderId="0" xfId="0" applyFont="1"/>
    <xf numFmtId="0" fontId="61" fillId="0" borderId="0" xfId="0" applyFont="1"/>
    <xf numFmtId="1" fontId="61" fillId="0" borderId="0" xfId="0" applyNumberFormat="1" applyFont="1"/>
    <xf numFmtId="2" fontId="60" fillId="0" borderId="0" xfId="0" applyNumberFormat="1" applyFont="1"/>
    <xf numFmtId="10" fontId="0" fillId="76" borderId="0" xfId="0" applyNumberFormat="1" applyFill="1"/>
    <xf numFmtId="10" fontId="0" fillId="77" borderId="0" xfId="0" applyNumberFormat="1" applyFill="1"/>
    <xf numFmtId="3" fontId="61" fillId="0" borderId="0" xfId="0" applyNumberFormat="1" applyFont="1"/>
    <xf numFmtId="0" fontId="60" fillId="0" borderId="0" xfId="0" applyFont="1"/>
    <xf numFmtId="0" fontId="62" fillId="0" borderId="0" xfId="0" applyFont="1"/>
    <xf numFmtId="0" fontId="62" fillId="68" borderId="0" xfId="0" applyFont="1" applyFill="1" applyAlignment="1">
      <alignment horizontal="right"/>
    </xf>
    <xf numFmtId="0" fontId="62" fillId="59" borderId="0" xfId="0" applyFont="1" applyFill="1" applyAlignment="1">
      <alignment horizontal="right"/>
    </xf>
    <xf numFmtId="0" fontId="43" fillId="0" borderId="0" xfId="0" applyFont="1"/>
    <xf numFmtId="0" fontId="1" fillId="47" borderId="0" xfId="0" applyFont="1" applyFill="1"/>
    <xf numFmtId="2" fontId="1" fillId="47" borderId="0" xfId="0" applyNumberFormat="1" applyFont="1" applyFill="1"/>
    <xf numFmtId="164" fontId="1" fillId="47" borderId="0" xfId="0" applyNumberFormat="1" applyFont="1" applyFill="1"/>
    <xf numFmtId="0" fontId="1" fillId="78" borderId="0" xfId="0" applyFont="1" applyFill="1"/>
    <xf numFmtId="166" fontId="1" fillId="0" borderId="0" xfId="0" applyNumberFormat="1" applyFont="1"/>
    <xf numFmtId="164" fontId="1" fillId="0" borderId="0" xfId="0" applyNumberFormat="1" applyFont="1"/>
    <xf numFmtId="164" fontId="1" fillId="55" borderId="0" xfId="0" applyNumberFormat="1" applyFont="1" applyFill="1"/>
    <xf numFmtId="10" fontId="1" fillId="76" borderId="0" xfId="0" applyNumberFormat="1" applyFont="1" applyFill="1"/>
    <xf numFmtId="10" fontId="1" fillId="57" borderId="0" xfId="0" applyNumberFormat="1" applyFont="1" applyFill="1"/>
    <xf numFmtId="0" fontId="1" fillId="76" borderId="0" xfId="0" applyFont="1" applyFill="1"/>
    <xf numFmtId="0" fontId="1" fillId="77" borderId="0" xfId="0" applyFont="1" applyFill="1"/>
    <xf numFmtId="164" fontId="1" fillId="36" borderId="0" xfId="0" applyNumberFormat="1" applyFont="1" applyFill="1"/>
    <xf numFmtId="2" fontId="1" fillId="0" borderId="0" xfId="0" applyNumberFormat="1" applyFont="1"/>
    <xf numFmtId="10" fontId="1" fillId="77" borderId="0" xfId="0" applyNumberFormat="1" applyFont="1" applyFill="1"/>
    <xf numFmtId="10" fontId="1" fillId="56" borderId="0" xfId="0" applyNumberFormat="1" applyFont="1" applyFill="1"/>
    <xf numFmtId="165" fontId="1" fillId="0" borderId="0" xfId="0" applyNumberFormat="1" applyFont="1"/>
    <xf numFmtId="0" fontId="1" fillId="0" borderId="0" xfId="0" applyFont="1"/>
    <xf numFmtId="10" fontId="1" fillId="36" borderId="0" xfId="0" applyNumberFormat="1" applyFont="1" applyFill="1"/>
    <xf numFmtId="10" fontId="1" fillId="0" borderId="0" xfId="0" applyNumberFormat="1" applyFont="1"/>
    <xf numFmtId="2" fontId="1" fillId="78" borderId="0" xfId="0" applyNumberFormat="1" applyFont="1" applyFill="1"/>
    <xf numFmtId="164" fontId="1" fillId="78" borderId="0" xfId="0" applyNumberFormat="1" applyFont="1" applyFill="1"/>
    <xf numFmtId="0" fontId="1" fillId="75" borderId="0" xfId="0" applyFont="1" applyFill="1"/>
    <xf numFmtId="0" fontId="1" fillId="2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0" borderId="0" xfId="0" applyFont="1" applyAlignment="1">
      <alignment wrapText="1"/>
    </xf>
    <xf numFmtId="166" fontId="1" fillId="0" borderId="0" xfId="0" applyNumberFormat="1" applyFont="1" applyAlignment="1">
      <alignment wrapText="1"/>
    </xf>
    <xf numFmtId="0" fontId="14" fillId="0" borderId="0" xfId="0" applyFont="1"/>
    <xf numFmtId="0" fontId="63" fillId="0" borderId="0" xfId="0" applyFont="1"/>
    <xf numFmtId="10" fontId="64" fillId="77" borderId="0" xfId="0" applyNumberFormat="1" applyFont="1" applyFill="1"/>
    <xf numFmtId="0" fontId="65" fillId="0" borderId="0" xfId="0" applyFont="1"/>
    <xf numFmtId="2" fontId="66" fillId="0" borderId="0" xfId="0" applyNumberFormat="1" applyFont="1"/>
    <xf numFmtId="0" fontId="66" fillId="0" borderId="0" xfId="0" applyFont="1"/>
    <xf numFmtId="0" fontId="67" fillId="0" borderId="0" xfId="0" applyFont="1"/>
    <xf numFmtId="171" fontId="52" fillId="65" borderId="0" xfId="0" applyNumberFormat="1" applyFont="1" applyFill="1" applyAlignment="1">
      <alignment horizontal="right"/>
    </xf>
    <xf numFmtId="10" fontId="1" fillId="80" borderId="0" xfId="0" applyNumberFormat="1" applyFont="1" applyFill="1"/>
    <xf numFmtId="170" fontId="49" fillId="79" borderId="0" xfId="0" applyNumberFormat="1" applyFont="1" applyFill="1"/>
    <xf numFmtId="170" fontId="49" fillId="19" borderId="0" xfId="0" applyNumberFormat="1" applyFont="1" applyFill="1"/>
    <xf numFmtId="0" fontId="68" fillId="0" borderId="0" xfId="0" applyFont="1"/>
    <xf numFmtId="0" fontId="68" fillId="11" borderId="0" xfId="0" applyFont="1" applyFill="1"/>
    <xf numFmtId="0" fontId="3" fillId="29" borderId="0" xfId="0" applyFont="1" applyFill="1"/>
    <xf numFmtId="0" fontId="48" fillId="0" borderId="0" xfId="0" applyFont="1"/>
    <xf numFmtId="14" fontId="70" fillId="81" borderId="0" xfId="0" applyNumberFormat="1" applyFont="1" applyFill="1" applyAlignment="1">
      <alignment horizontal="right"/>
    </xf>
    <xf numFmtId="170" fontId="68" fillId="82" borderId="0" xfId="0" applyNumberFormat="1" applyFont="1" applyFill="1"/>
    <xf numFmtId="170" fontId="68" fillId="83" borderId="0" xfId="0" applyNumberFormat="1" applyFont="1" applyFill="1"/>
    <xf numFmtId="170" fontId="69" fillId="0" borderId="0" xfId="0" applyNumberFormat="1" applyFont="1"/>
    <xf numFmtId="170" fontId="69" fillId="82" borderId="0" xfId="0" applyNumberFormat="1" applyFont="1" applyFill="1"/>
    <xf numFmtId="2" fontId="0" fillId="84" borderId="0" xfId="0" applyNumberFormat="1" applyFill="1"/>
    <xf numFmtId="2" fontId="0" fillId="85" borderId="0" xfId="0" applyNumberFormat="1" applyFill="1"/>
    <xf numFmtId="22" fontId="68" fillId="0" borderId="0" xfId="0" applyNumberFormat="1" applyFont="1" applyAlignment="1">
      <alignment horizontal="right"/>
    </xf>
    <xf numFmtId="0" fontId="71" fillId="0" borderId="0" xfId="0" applyFont="1" applyAlignment="1">
      <alignment horizontal="right"/>
    </xf>
    <xf numFmtId="14" fontId="72" fillId="86" borderId="0" xfId="0" applyNumberFormat="1" applyFont="1" applyFill="1" applyAlignment="1">
      <alignment horizontal="right"/>
    </xf>
    <xf numFmtId="170" fontId="68" fillId="87" borderId="0" xfId="0" applyNumberFormat="1" applyFont="1" applyFill="1"/>
    <xf numFmtId="170" fontId="68" fillId="88" borderId="0" xfId="0" applyNumberFormat="1" applyFont="1" applyFill="1"/>
    <xf numFmtId="170" fontId="69" fillId="88" borderId="0" xfId="0" applyNumberFormat="1" applyFont="1" applyFill="1"/>
    <xf numFmtId="2" fontId="0" fillId="89" borderId="0" xfId="0" applyNumberFormat="1" applyFill="1"/>
    <xf numFmtId="2" fontId="0" fillId="90" borderId="0" xfId="0" applyNumberFormat="1" applyFill="1"/>
    <xf numFmtId="0" fontId="73" fillId="0" borderId="0" xfId="0" applyFont="1"/>
    <xf numFmtId="14" fontId="74" fillId="91" borderId="0" xfId="0" applyNumberFormat="1" applyFont="1" applyFill="1" applyAlignment="1">
      <alignment horizontal="right"/>
    </xf>
    <xf numFmtId="170" fontId="68" fillId="92" borderId="0" xfId="0" applyNumberFormat="1" applyFont="1" applyFill="1"/>
    <xf numFmtId="170" fontId="68" fillId="93" borderId="0" xfId="0" applyNumberFormat="1" applyFont="1" applyFill="1"/>
    <xf numFmtId="170" fontId="69" fillId="92" borderId="0" xfId="0" applyNumberFormat="1" applyFont="1" applyFill="1"/>
    <xf numFmtId="2" fontId="0" fillId="94" borderId="0" xfId="0" applyNumberFormat="1" applyFill="1"/>
    <xf numFmtId="2" fontId="0" fillId="95" borderId="0" xfId="0" applyNumberFormat="1" applyFill="1"/>
    <xf numFmtId="0" fontId="75" fillId="0" borderId="0" xfId="0" applyFont="1"/>
    <xf numFmtId="2" fontId="76" fillId="0" borderId="0" xfId="0" applyNumberFormat="1" applyFont="1"/>
    <xf numFmtId="0" fontId="76" fillId="0" borderId="0" xfId="0" applyFont="1"/>
    <xf numFmtId="2" fontId="76" fillId="96" borderId="0" xfId="0" applyNumberFormat="1" applyFont="1" applyFill="1"/>
    <xf numFmtId="0" fontId="74" fillId="91" borderId="0" xfId="0" applyFont="1" applyFill="1"/>
    <xf numFmtId="0" fontId="77" fillId="97" borderId="0" xfId="0" applyFont="1" applyFill="1" applyAlignment="1">
      <alignment horizontal="right"/>
    </xf>
    <xf numFmtId="0" fontId="68" fillId="97" borderId="0" xfId="0" applyFont="1" applyFill="1" applyAlignment="1">
      <alignment horizontal="right"/>
    </xf>
    <xf numFmtId="0" fontId="69" fillId="98" borderId="0" xfId="0" applyFont="1" applyFill="1"/>
    <xf numFmtId="0" fontId="78" fillId="0" borderId="0" xfId="0" applyFont="1"/>
    <xf numFmtId="0" fontId="79" fillId="0" borderId="0" xfId="0" applyFont="1"/>
    <xf numFmtId="0" fontId="16" fillId="0" borderId="0" xfId="0" applyFont="1"/>
    <xf numFmtId="0" fontId="0" fillId="0" borderId="0" xfId="0"/>
    <xf numFmtId="0" fontId="16" fillId="50" borderId="0" xfId="0" applyFont="1" applyFill="1"/>
    <xf numFmtId="0" fontId="30" fillId="29" borderId="0" xfId="0" applyFont="1" applyFill="1" applyAlignment="1">
      <alignment horizontal="center"/>
    </xf>
    <xf numFmtId="0" fontId="27" fillId="50" borderId="0" xfId="0" applyFont="1" applyFill="1"/>
    <xf numFmtId="0" fontId="20" fillId="0" borderId="0" xfId="0" applyFont="1" applyAlignment="1">
      <alignment horizontal="center"/>
    </xf>
    <xf numFmtId="0" fontId="68" fillId="0" borderId="0" xfId="0" applyFont="1" applyFill="1"/>
    <xf numFmtId="0" fontId="78" fillId="0" borderId="0" xfId="0" applyFont="1" applyFill="1"/>
    <xf numFmtId="0" fontId="79" fillId="0" borderId="0" xfId="0" applyFont="1" applyFill="1"/>
    <xf numFmtId="0" fontId="69" fillId="0" borderId="0" xfId="0" applyFont="1" applyFill="1"/>
    <xf numFmtId="16" fontId="0" fillId="0" borderId="0" xfId="0" applyNumberFormat="1"/>
  </cellXfs>
  <cellStyles count="4">
    <cellStyle name="Currency" xfId="1" builtinId="4"/>
    <cellStyle name="Good" xfId="3" builtinId="26"/>
    <cellStyle name="Normal" xfId="0" builtinId="0"/>
    <cellStyle name="Percent" xfId="2" builtinId="5"/>
  </cellStyles>
  <dxfs count="6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6100"/>
      </font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6100"/>
      </font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6100"/>
      </font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006100"/>
      </font>
      <fill>
        <patternFill>
          <bgColor rgb="FF00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rgb="FF000000"/>
      </font>
      <fill>
        <patternFill patternType="solid">
          <fgColor indexed="64"/>
          <bgColor rgb="FF00FF00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 patternType="solid">
          <fgColor indexed="64"/>
          <bgColor rgb="FF00FF00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 patternType="solid">
          <fgColor indexed="64"/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66FF33"/>
        </patternFill>
      </fill>
    </dxf>
    <dxf>
      <fill>
        <patternFill>
          <bgColor rgb="FF90EE90"/>
        </patternFill>
      </fill>
    </dxf>
    <dxf>
      <fill>
        <patternFill>
          <bgColor rgb="FFFF7C8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workbookViewId="0">
      <selection activeCell="J30" sqref="J30:K30"/>
    </sheetView>
  </sheetViews>
  <sheetFormatPr defaultRowHeight="15" x14ac:dyDescent="0.25"/>
  <cols>
    <col min="1" max="1" width="32.42578125" customWidth="1"/>
    <col min="2" max="2" width="28.42578125" customWidth="1"/>
    <col min="4" max="4" width="33.7109375" customWidth="1"/>
    <col min="5" max="5" width="17.28515625" customWidth="1"/>
    <col min="7" max="7" width="31.5703125" customWidth="1"/>
    <col min="8" max="8" width="25" customWidth="1"/>
    <col min="10" max="10" width="20.5703125" customWidth="1"/>
    <col min="11" max="11" width="26.7109375" customWidth="1"/>
  </cols>
  <sheetData>
    <row r="1" spans="1:11" ht="20.25" customHeight="1" x14ac:dyDescent="0.25">
      <c r="A1" s="44" t="s">
        <v>0</v>
      </c>
      <c r="B1" s="45"/>
      <c r="D1" s="43" t="s">
        <v>1</v>
      </c>
      <c r="E1" s="43"/>
      <c r="G1" s="282" t="s">
        <v>2</v>
      </c>
      <c r="H1" s="280"/>
      <c r="J1" s="245" t="s">
        <v>3</v>
      </c>
      <c r="K1" s="254" t="s">
        <v>4</v>
      </c>
    </row>
    <row r="2" spans="1:11" ht="15.75" customHeight="1" x14ac:dyDescent="0.25">
      <c r="A2" s="41"/>
      <c r="B2" s="41"/>
    </row>
    <row r="3" spans="1:11" ht="15.75" customHeight="1" x14ac:dyDescent="0.25">
      <c r="A3" s="46" t="s">
        <v>5</v>
      </c>
      <c r="B3" s="41"/>
      <c r="D3" s="34" t="s">
        <v>6</v>
      </c>
      <c r="G3" s="283" t="s">
        <v>7</v>
      </c>
      <c r="H3" s="280"/>
      <c r="J3" s="281" t="s">
        <v>8</v>
      </c>
      <c r="K3" s="280"/>
    </row>
    <row r="4" spans="1:11" ht="15.75" customHeight="1" x14ac:dyDescent="0.25">
      <c r="A4" s="111" t="s">
        <v>9</v>
      </c>
      <c r="B4" s="112">
        <v>291329.95</v>
      </c>
      <c r="D4" s="30" t="s">
        <v>10</v>
      </c>
      <c r="E4" s="31">
        <v>996.85016153846175</v>
      </c>
      <c r="G4" s="67" t="s">
        <v>11</v>
      </c>
      <c r="H4" s="67" t="s">
        <v>12</v>
      </c>
      <c r="J4" s="67" t="s">
        <v>11</v>
      </c>
      <c r="K4" s="139" t="s">
        <v>13</v>
      </c>
    </row>
    <row r="5" spans="1:11" ht="15.75" customHeight="1" x14ac:dyDescent="0.25">
      <c r="A5" s="41" t="s">
        <v>14</v>
      </c>
      <c r="B5" s="42">
        <v>62300.2</v>
      </c>
      <c r="D5" s="30" t="s">
        <v>15</v>
      </c>
      <c r="E5" s="31">
        <v>4319.6840333333339</v>
      </c>
      <c r="G5" s="273" t="s">
        <v>16</v>
      </c>
      <c r="H5" s="274" t="s">
        <v>17</v>
      </c>
      <c r="J5" s="273" t="s">
        <v>18</v>
      </c>
      <c r="K5" s="275" t="s">
        <v>19</v>
      </c>
    </row>
    <row r="6" spans="1:11" ht="15.75" customHeight="1" x14ac:dyDescent="0.25">
      <c r="A6" s="41" t="s">
        <v>20</v>
      </c>
      <c r="B6" s="42">
        <v>53809.52</v>
      </c>
      <c r="D6" s="30" t="s">
        <v>21</v>
      </c>
      <c r="E6" s="31">
        <v>51836.20840000001</v>
      </c>
      <c r="G6" s="68"/>
      <c r="H6" s="71"/>
      <c r="J6" s="164"/>
      <c r="K6" s="178"/>
    </row>
    <row r="7" spans="1:11" ht="15.75" customHeight="1" x14ac:dyDescent="0.25">
      <c r="A7" s="41" t="s">
        <v>22</v>
      </c>
      <c r="B7" s="42">
        <v>2833.8</v>
      </c>
      <c r="G7" s="276" t="s">
        <v>23</v>
      </c>
      <c r="H7" s="276" t="s">
        <v>24</v>
      </c>
      <c r="J7" s="276" t="s">
        <v>23</v>
      </c>
      <c r="K7" s="276" t="s">
        <v>25</v>
      </c>
    </row>
    <row r="8" spans="1:11" ht="15.75" customHeight="1" x14ac:dyDescent="0.25">
      <c r="A8" s="41" t="s">
        <v>26</v>
      </c>
      <c r="B8" s="47">
        <v>136538.98000000001</v>
      </c>
      <c r="D8" s="34" t="s">
        <v>27</v>
      </c>
      <c r="G8" s="243" t="s">
        <v>28</v>
      </c>
      <c r="H8" s="277" t="s">
        <v>29</v>
      </c>
      <c r="J8" s="243" t="s">
        <v>30</v>
      </c>
      <c r="K8" s="278" t="s">
        <v>31</v>
      </c>
    </row>
    <row r="9" spans="1:11" ht="15.75" customHeight="1" x14ac:dyDescent="0.25">
      <c r="A9" s="41" t="s">
        <v>32</v>
      </c>
      <c r="B9" s="48">
        <v>546812.45000000007</v>
      </c>
      <c r="D9" s="30" t="s">
        <v>9</v>
      </c>
      <c r="E9" s="31">
        <v>26545.350399999999</v>
      </c>
      <c r="G9" s="243" t="s">
        <v>33</v>
      </c>
      <c r="H9" s="277" t="s">
        <v>34</v>
      </c>
      <c r="J9" s="243" t="s">
        <v>35</v>
      </c>
      <c r="K9" s="278" t="s">
        <v>36</v>
      </c>
    </row>
    <row r="10" spans="1:11" ht="15.75" customHeight="1" x14ac:dyDescent="0.25">
      <c r="A10" s="45" t="s">
        <v>37</v>
      </c>
      <c r="B10" s="146" t="s">
        <v>38</v>
      </c>
      <c r="D10" s="30" t="s">
        <v>14</v>
      </c>
      <c r="E10" s="31">
        <v>11509.165199999999</v>
      </c>
      <c r="G10" s="244" t="s">
        <v>39</v>
      </c>
      <c r="H10" s="277" t="s">
        <v>40</v>
      </c>
      <c r="J10" s="243" t="s">
        <v>41</v>
      </c>
      <c r="K10" s="278" t="s">
        <v>42</v>
      </c>
    </row>
    <row r="11" spans="1:11" ht="15.75" customHeight="1" x14ac:dyDescent="0.25">
      <c r="A11" s="273" t="s">
        <v>43</v>
      </c>
      <c r="B11" s="274" t="s">
        <v>44</v>
      </c>
      <c r="D11" s="30" t="s">
        <v>20</v>
      </c>
      <c r="E11" s="31">
        <v>13183.368</v>
      </c>
      <c r="G11" s="243" t="s">
        <v>45</v>
      </c>
      <c r="H11" s="277" t="s">
        <v>46</v>
      </c>
      <c r="J11" s="243" t="s">
        <v>47</v>
      </c>
      <c r="K11" s="278" t="s">
        <v>48</v>
      </c>
    </row>
    <row r="12" spans="1:11" ht="15.75" customHeight="1" x14ac:dyDescent="0.25">
      <c r="D12" s="30" t="s">
        <v>22</v>
      </c>
      <c r="E12" s="31">
        <v>598.3248000000001</v>
      </c>
      <c r="G12" s="243" t="s">
        <v>49</v>
      </c>
      <c r="H12" s="277" t="s">
        <v>50</v>
      </c>
      <c r="J12" s="243" t="s">
        <v>51</v>
      </c>
      <c r="K12" s="278" t="s">
        <v>52</v>
      </c>
    </row>
    <row r="13" spans="1:11" ht="15.75" customHeight="1" x14ac:dyDescent="0.25">
      <c r="A13" s="34" t="s">
        <v>53</v>
      </c>
      <c r="G13" s="243" t="s">
        <v>54</v>
      </c>
      <c r="H13" s="277" t="s">
        <v>55</v>
      </c>
      <c r="J13" s="243" t="s">
        <v>56</v>
      </c>
      <c r="K13" s="278" t="s">
        <v>57</v>
      </c>
    </row>
    <row r="14" spans="1:11" ht="15.75" customHeight="1" x14ac:dyDescent="0.25">
      <c r="A14" s="30" t="s">
        <v>9</v>
      </c>
      <c r="B14" s="32">
        <v>0.53277856054667372</v>
      </c>
      <c r="D14" s="34" t="s">
        <v>58</v>
      </c>
      <c r="G14" s="276" t="s">
        <v>59</v>
      </c>
      <c r="H14" s="276" t="s">
        <v>60</v>
      </c>
      <c r="J14" s="243" t="s">
        <v>61</v>
      </c>
      <c r="K14" s="278" t="s">
        <v>62</v>
      </c>
    </row>
    <row r="15" spans="1:11" ht="15.75" customHeight="1" x14ac:dyDescent="0.25">
      <c r="A15" s="30" t="s">
        <v>14</v>
      </c>
      <c r="B15" s="32">
        <v>0.11393339709072089</v>
      </c>
      <c r="D15" s="111" t="s">
        <v>63</v>
      </c>
      <c r="E15" s="31">
        <v>953.33</v>
      </c>
      <c r="G15" s="243" t="s">
        <v>28</v>
      </c>
      <c r="H15" s="277" t="s">
        <v>29</v>
      </c>
      <c r="J15" s="243" t="s">
        <v>64</v>
      </c>
      <c r="K15" s="278" t="s">
        <v>65</v>
      </c>
    </row>
    <row r="16" spans="1:11" ht="15.75" customHeight="1" x14ac:dyDescent="0.25">
      <c r="A16" s="30" t="s">
        <v>20</v>
      </c>
      <c r="B16" s="32">
        <v>9.8405806232100226E-2</v>
      </c>
      <c r="D16" s="30" t="s">
        <v>66</v>
      </c>
      <c r="E16" s="31">
        <v>370</v>
      </c>
      <c r="G16" s="243" t="s">
        <v>33</v>
      </c>
      <c r="H16" s="277" t="s">
        <v>34</v>
      </c>
      <c r="J16" s="243" t="s">
        <v>67</v>
      </c>
      <c r="K16" s="278" t="s">
        <v>68</v>
      </c>
    </row>
    <row r="17" spans="1:11" ht="15.75" customHeight="1" x14ac:dyDescent="0.25">
      <c r="A17" s="30" t="s">
        <v>22</v>
      </c>
      <c r="B17" s="32">
        <v>5.1823984622149689E-3</v>
      </c>
      <c r="D17" s="30" t="s">
        <v>69</v>
      </c>
      <c r="E17" s="31">
        <v>395</v>
      </c>
      <c r="G17" s="244" t="s">
        <v>45</v>
      </c>
      <c r="H17" s="277" t="s">
        <v>46</v>
      </c>
      <c r="J17" s="276" t="s">
        <v>59</v>
      </c>
      <c r="K17" s="276" t="s">
        <v>70</v>
      </c>
    </row>
    <row r="18" spans="1:11" ht="15.75" customHeight="1" x14ac:dyDescent="0.25">
      <c r="A18" s="37" t="s">
        <v>26</v>
      </c>
      <c r="B18" s="40">
        <v>0.2496998376682901</v>
      </c>
      <c r="D18" s="30" t="s">
        <v>71</v>
      </c>
      <c r="E18" s="31">
        <v>1718.33</v>
      </c>
      <c r="G18" s="243" t="s">
        <v>49</v>
      </c>
      <c r="H18" s="277" t="s">
        <v>50</v>
      </c>
      <c r="J18" s="285" t="s">
        <v>30</v>
      </c>
      <c r="K18" s="287" t="s">
        <v>31</v>
      </c>
    </row>
    <row r="19" spans="1:11" ht="15.75" customHeight="1" x14ac:dyDescent="0.25">
      <c r="G19" s="285" t="s">
        <v>54</v>
      </c>
      <c r="H19" s="286" t="s">
        <v>55</v>
      </c>
      <c r="J19" s="243" t="s">
        <v>35</v>
      </c>
      <c r="K19" s="278" t="s">
        <v>36</v>
      </c>
    </row>
    <row r="20" spans="1:11" ht="15.75" customHeight="1" x14ac:dyDescent="0.25">
      <c r="D20" s="34" t="s">
        <v>72</v>
      </c>
      <c r="G20" s="276" t="s">
        <v>73</v>
      </c>
      <c r="H20" s="276" t="s">
        <v>74</v>
      </c>
      <c r="J20" s="243" t="s">
        <v>56</v>
      </c>
      <c r="K20" s="278" t="s">
        <v>57</v>
      </c>
    </row>
    <row r="21" spans="1:11" ht="15.75" customHeight="1" x14ac:dyDescent="0.25">
      <c r="A21" s="34" t="s">
        <v>75</v>
      </c>
      <c r="D21" s="30" t="s">
        <v>76</v>
      </c>
      <c r="E21" s="31">
        <v>2601.354033333334</v>
      </c>
      <c r="G21" s="243" t="s">
        <v>77</v>
      </c>
      <c r="H21" s="277" t="s">
        <v>78</v>
      </c>
      <c r="J21" s="243" t="s">
        <v>61</v>
      </c>
      <c r="K21" s="278" t="s">
        <v>62</v>
      </c>
    </row>
    <row r="22" spans="1:11" ht="15.75" customHeight="1" x14ac:dyDescent="0.25">
      <c r="A22" s="30" t="s">
        <v>79</v>
      </c>
      <c r="B22" s="30"/>
      <c r="D22" s="30" t="s">
        <v>80</v>
      </c>
      <c r="E22" s="31">
        <v>31216.248400000011</v>
      </c>
      <c r="G22" s="285" t="s">
        <v>81</v>
      </c>
      <c r="H22" s="286" t="s">
        <v>82</v>
      </c>
      <c r="J22" s="243" t="s">
        <v>64</v>
      </c>
      <c r="K22" s="278" t="s">
        <v>65</v>
      </c>
    </row>
    <row r="23" spans="1:11" ht="15.75" customHeight="1" x14ac:dyDescent="0.25">
      <c r="A23" s="30" t="s">
        <v>83</v>
      </c>
      <c r="B23" s="30" t="s">
        <v>84</v>
      </c>
      <c r="D23" s="30" t="s">
        <v>85</v>
      </c>
      <c r="E23" s="32">
        <v>0.52500000000000002</v>
      </c>
      <c r="G23" s="243" t="s">
        <v>86</v>
      </c>
      <c r="H23" s="277" t="s">
        <v>87</v>
      </c>
      <c r="J23" s="243" t="s">
        <v>67</v>
      </c>
      <c r="K23" s="278" t="s">
        <v>88</v>
      </c>
    </row>
    <row r="24" spans="1:11" ht="15.75" customHeight="1" x14ac:dyDescent="0.25">
      <c r="G24" s="276" t="s">
        <v>89</v>
      </c>
      <c r="H24" s="276" t="s">
        <v>90</v>
      </c>
      <c r="J24" s="276" t="s">
        <v>73</v>
      </c>
      <c r="K24" s="276" t="s">
        <v>91</v>
      </c>
    </row>
    <row r="25" spans="1:11" ht="15.75" customHeight="1" x14ac:dyDescent="0.25">
      <c r="D25" s="34" t="s">
        <v>92</v>
      </c>
      <c r="G25" s="285" t="s">
        <v>81</v>
      </c>
      <c r="H25" s="286" t="s">
        <v>82</v>
      </c>
      <c r="J25" s="243" t="s">
        <v>51</v>
      </c>
      <c r="K25" s="278" t="s">
        <v>93</v>
      </c>
    </row>
    <row r="26" spans="1:11" ht="15.75" customHeight="1" x14ac:dyDescent="0.25">
      <c r="A26" s="36"/>
      <c r="D26" s="30" t="s">
        <v>94</v>
      </c>
      <c r="E26" s="32">
        <v>9.4797052261703263E-2</v>
      </c>
      <c r="G26" s="243"/>
      <c r="H26" s="262"/>
      <c r="J26" s="285" t="s">
        <v>61</v>
      </c>
      <c r="K26" s="287" t="s">
        <v>62</v>
      </c>
    </row>
    <row r="27" spans="1:11" ht="15.75" customHeight="1" x14ac:dyDescent="0.25">
      <c r="A27" s="30"/>
      <c r="B27" s="31"/>
      <c r="D27" s="30" t="s">
        <v>95</v>
      </c>
      <c r="E27" s="33" t="s">
        <v>96</v>
      </c>
      <c r="G27" s="139"/>
      <c r="H27" s="139"/>
      <c r="J27" s="285" t="s">
        <v>64</v>
      </c>
      <c r="K27" s="287" t="s">
        <v>65</v>
      </c>
    </row>
    <row r="28" spans="1:11" ht="15.75" customHeight="1" x14ac:dyDescent="0.25">
      <c r="A28" s="31"/>
      <c r="B28" s="31"/>
      <c r="D28" s="30" t="s">
        <v>97</v>
      </c>
      <c r="E28" s="32">
        <v>0.06</v>
      </c>
      <c r="G28" s="111"/>
      <c r="H28" s="187"/>
      <c r="J28" s="276" t="s">
        <v>89</v>
      </c>
      <c r="K28" s="276" t="s">
        <v>98</v>
      </c>
    </row>
    <row r="29" spans="1:11" ht="15.75" customHeight="1" x14ac:dyDescent="0.25">
      <c r="A29" s="30"/>
      <c r="B29" s="31"/>
      <c r="D29" s="30" t="s">
        <v>99</v>
      </c>
      <c r="E29" s="30" t="s">
        <v>100</v>
      </c>
      <c r="G29" s="59"/>
      <c r="H29" s="60"/>
      <c r="J29" s="243" t="s">
        <v>61</v>
      </c>
      <c r="K29" s="278" t="s">
        <v>101</v>
      </c>
    </row>
    <row r="30" spans="1:11" ht="15.75" customHeight="1" x14ac:dyDescent="0.25">
      <c r="A30" s="30"/>
      <c r="B30" s="31"/>
      <c r="G30" s="279"/>
      <c r="H30" s="280"/>
      <c r="J30" s="288"/>
      <c r="K30" s="288"/>
    </row>
    <row r="31" spans="1:11" ht="15.75" customHeight="1" x14ac:dyDescent="0.25">
      <c r="D31" s="35" t="s">
        <v>102</v>
      </c>
      <c r="G31" s="139"/>
      <c r="H31" s="111"/>
      <c r="J31" s="243"/>
      <c r="K31" s="255"/>
    </row>
    <row r="32" spans="1:11" ht="15.75" customHeight="1" x14ac:dyDescent="0.25">
      <c r="D32" s="30" t="s">
        <v>103</v>
      </c>
      <c r="E32" s="31">
        <v>3600</v>
      </c>
      <c r="G32" s="139"/>
      <c r="H32" s="111"/>
      <c r="J32" s="164"/>
      <c r="K32" s="201"/>
    </row>
    <row r="33" spans="1:11" ht="15.75" customHeight="1" x14ac:dyDescent="0.25">
      <c r="A33" s="36"/>
      <c r="D33" s="30" t="s">
        <v>104</v>
      </c>
      <c r="E33" s="31">
        <v>3615.82</v>
      </c>
      <c r="G33" s="139"/>
      <c r="H33" s="188"/>
      <c r="J33" s="164"/>
      <c r="K33" s="201"/>
    </row>
    <row r="34" spans="1:11" ht="15.75" customHeight="1" x14ac:dyDescent="0.25">
      <c r="A34" s="30"/>
      <c r="B34" s="31"/>
      <c r="D34" s="30" t="s">
        <v>105</v>
      </c>
      <c r="E34" s="31">
        <v>43200</v>
      </c>
      <c r="G34" s="139"/>
      <c r="H34" s="189"/>
      <c r="J34" s="164"/>
      <c r="K34" s="201"/>
    </row>
    <row r="35" spans="1:11" ht="15.75" customHeight="1" x14ac:dyDescent="0.25">
      <c r="A35" s="30"/>
      <c r="B35" s="31"/>
      <c r="D35" s="30" t="s">
        <v>106</v>
      </c>
      <c r="E35" s="31">
        <v>51836.20840000001</v>
      </c>
      <c r="G35" s="58"/>
      <c r="H35" s="61"/>
      <c r="J35" s="164"/>
      <c r="K35" s="201"/>
    </row>
    <row r="36" spans="1:11" ht="15.75" customHeight="1" x14ac:dyDescent="0.25">
      <c r="A36" s="30"/>
      <c r="B36" s="31"/>
      <c r="G36" s="58"/>
      <c r="H36" s="59"/>
      <c r="J36" s="164"/>
      <c r="K36" s="201"/>
    </row>
    <row r="37" spans="1:11" ht="15.75" customHeight="1" x14ac:dyDescent="0.25">
      <c r="G37" s="58"/>
      <c r="H37" s="61"/>
      <c r="J37" s="164"/>
      <c r="K37" s="178"/>
    </row>
    <row r="38" spans="1:11" ht="15.75" customHeight="1" x14ac:dyDescent="0.25">
      <c r="D38" s="35" t="s">
        <v>107</v>
      </c>
      <c r="G38" s="58"/>
      <c r="H38" s="62"/>
      <c r="J38" s="246"/>
      <c r="K38" s="246"/>
    </row>
    <row r="39" spans="1:11" ht="15.75" customHeight="1" x14ac:dyDescent="0.25">
      <c r="A39" s="36"/>
      <c r="D39" s="30" t="s">
        <v>108</v>
      </c>
      <c r="E39" s="31">
        <v>1897.49</v>
      </c>
      <c r="J39" s="164"/>
      <c r="K39" s="202"/>
    </row>
    <row r="40" spans="1:11" ht="15.75" customHeight="1" x14ac:dyDescent="0.25">
      <c r="A40" s="30"/>
      <c r="B40" s="31"/>
      <c r="D40" s="30" t="s">
        <v>109</v>
      </c>
      <c r="E40" s="31">
        <v>22769.82</v>
      </c>
      <c r="J40" s="164"/>
      <c r="K40" s="203"/>
    </row>
    <row r="41" spans="1:11" ht="15.75" customHeight="1" x14ac:dyDescent="0.25">
      <c r="A41" s="30"/>
      <c r="B41" s="31"/>
      <c r="D41" s="30" t="s">
        <v>110</v>
      </c>
      <c r="E41" s="30" t="s">
        <v>111</v>
      </c>
    </row>
    <row r="42" spans="1:11" ht="15.75" customHeight="1" x14ac:dyDescent="0.25">
      <c r="J42" s="186"/>
      <c r="K42" s="179"/>
    </row>
    <row r="43" spans="1:11" ht="15.75" customHeight="1" x14ac:dyDescent="0.25">
      <c r="A43" s="30"/>
      <c r="B43" s="30"/>
    </row>
  </sheetData>
  <mergeCells count="4">
    <mergeCell ref="G30:H30"/>
    <mergeCell ref="J3:K3"/>
    <mergeCell ref="G1:H1"/>
    <mergeCell ref="G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"/>
  <sheetViews>
    <sheetView workbookViewId="0">
      <pane xSplit="1" topLeftCell="AJ1" activePane="topRight" state="frozen"/>
      <selection pane="topRight" activeCell="AP25" sqref="AP25"/>
    </sheetView>
  </sheetViews>
  <sheetFormatPr defaultRowHeight="15" x14ac:dyDescent="0.25"/>
  <cols>
    <col min="1" max="1" width="23.140625" customWidth="1"/>
    <col min="2" max="36" width="15.7109375" customWidth="1"/>
    <col min="37" max="44" width="15" customWidth="1"/>
    <col min="45" max="45" width="15" bestFit="1" customWidth="1"/>
    <col min="46" max="47" width="15" customWidth="1"/>
  </cols>
  <sheetData>
    <row r="1" spans="1:47" ht="18.75" customHeight="1" x14ac:dyDescent="0.3">
      <c r="A1" s="17" t="s">
        <v>112</v>
      </c>
    </row>
    <row r="3" spans="1:47" ht="15.75" customHeight="1" x14ac:dyDescent="0.25">
      <c r="A3" s="19" t="s">
        <v>11</v>
      </c>
      <c r="B3" s="20">
        <v>45655</v>
      </c>
      <c r="C3" s="27">
        <v>45662</v>
      </c>
      <c r="D3" s="27">
        <v>45669</v>
      </c>
      <c r="E3" s="27">
        <v>45676</v>
      </c>
      <c r="F3" s="21">
        <v>45683</v>
      </c>
      <c r="G3" s="21">
        <v>45690</v>
      </c>
      <c r="H3" s="22">
        <v>45697</v>
      </c>
      <c r="I3" s="22">
        <v>45704</v>
      </c>
      <c r="J3" s="22">
        <v>45711</v>
      </c>
      <c r="K3" s="22">
        <v>45718</v>
      </c>
      <c r="L3" s="22">
        <v>45725</v>
      </c>
      <c r="M3" s="22">
        <v>45732</v>
      </c>
      <c r="N3" s="22">
        <v>45739</v>
      </c>
      <c r="O3" s="22">
        <v>45746</v>
      </c>
      <c r="P3" s="22">
        <v>45753</v>
      </c>
      <c r="Q3" s="22">
        <v>45760</v>
      </c>
      <c r="R3" s="22">
        <v>45767</v>
      </c>
      <c r="S3" s="22">
        <v>45774</v>
      </c>
      <c r="T3" s="22">
        <v>45781</v>
      </c>
      <c r="U3" s="22">
        <v>45788</v>
      </c>
      <c r="V3" s="22">
        <v>45795</v>
      </c>
      <c r="W3" s="22">
        <v>45802</v>
      </c>
      <c r="X3" s="22">
        <v>45809</v>
      </c>
      <c r="Y3" s="22">
        <v>45816</v>
      </c>
      <c r="Z3" s="22">
        <v>45823</v>
      </c>
      <c r="AA3" s="22">
        <v>45826</v>
      </c>
      <c r="AB3" s="22">
        <v>45830</v>
      </c>
      <c r="AC3" s="22">
        <v>45837</v>
      </c>
      <c r="AD3" s="22">
        <v>45844</v>
      </c>
      <c r="AE3" s="22">
        <v>45851</v>
      </c>
      <c r="AF3" s="22">
        <v>45858</v>
      </c>
      <c r="AG3" s="22">
        <v>45865</v>
      </c>
      <c r="AH3" s="22">
        <v>45872</v>
      </c>
      <c r="AI3" s="22">
        <v>45879</v>
      </c>
      <c r="AJ3" s="22">
        <v>45886</v>
      </c>
      <c r="AK3" s="29" t="s">
        <v>113</v>
      </c>
      <c r="AL3" s="49" t="s">
        <v>114</v>
      </c>
      <c r="AM3" s="64" t="s">
        <v>115</v>
      </c>
      <c r="AN3" s="118" t="s">
        <v>116</v>
      </c>
      <c r="AO3" s="137" t="s">
        <v>117</v>
      </c>
      <c r="AP3" s="147" t="s">
        <v>118</v>
      </c>
      <c r="AQ3" s="165" t="s">
        <v>119</v>
      </c>
      <c r="AR3" s="239">
        <v>45942</v>
      </c>
      <c r="AS3" s="247" t="s">
        <v>120</v>
      </c>
      <c r="AT3" s="256" t="s">
        <v>121</v>
      </c>
      <c r="AU3" s="263" t="s">
        <v>122</v>
      </c>
    </row>
    <row r="4" spans="1:47" ht="15.75" customHeight="1" x14ac:dyDescent="0.25">
      <c r="A4" s="204" t="s">
        <v>23</v>
      </c>
      <c r="B4" s="144">
        <v>254846</v>
      </c>
      <c r="C4" s="24">
        <v>262064</v>
      </c>
      <c r="D4" s="24">
        <v>256772</v>
      </c>
      <c r="E4" s="25">
        <v>267398</v>
      </c>
      <c r="F4" s="24">
        <v>270572</v>
      </c>
      <c r="G4" s="24">
        <v>269937</v>
      </c>
      <c r="H4" s="25">
        <v>277913</v>
      </c>
      <c r="I4" s="25">
        <v>279767</v>
      </c>
      <c r="J4" s="25">
        <v>272834</v>
      </c>
      <c r="K4" s="25">
        <v>263612</v>
      </c>
      <c r="L4" s="25">
        <v>255640</v>
      </c>
      <c r="M4" s="25">
        <v>252656</v>
      </c>
      <c r="N4" s="25">
        <v>252762</v>
      </c>
      <c r="O4" s="25">
        <v>243756</v>
      </c>
      <c r="P4" s="25">
        <v>219603</v>
      </c>
      <c r="Q4" s="25">
        <v>224151</v>
      </c>
      <c r="R4" s="25">
        <v>223601</v>
      </c>
      <c r="S4" s="25">
        <v>236658</v>
      </c>
      <c r="T4" s="25">
        <v>243672</v>
      </c>
      <c r="U4" s="25">
        <v>244978</v>
      </c>
      <c r="V4" s="25">
        <v>258118</v>
      </c>
      <c r="W4" s="25">
        <v>249420</v>
      </c>
      <c r="X4" s="25">
        <v>253461</v>
      </c>
      <c r="Y4" s="25">
        <v>264617</v>
      </c>
      <c r="Z4" s="25">
        <v>262824</v>
      </c>
      <c r="AA4" s="25">
        <v>264981</v>
      </c>
      <c r="AB4" s="25">
        <v>263152</v>
      </c>
      <c r="AC4" s="25">
        <v>272767</v>
      </c>
      <c r="AD4" s="25">
        <v>278134</v>
      </c>
      <c r="AE4" s="25">
        <v>278002</v>
      </c>
      <c r="AF4" s="25">
        <v>277430</v>
      </c>
      <c r="AG4" s="25">
        <v>278418</v>
      </c>
      <c r="AH4" s="25">
        <v>275522</v>
      </c>
      <c r="AI4" s="25">
        <v>274961</v>
      </c>
      <c r="AJ4" s="25">
        <v>277989</v>
      </c>
      <c r="AK4" s="28">
        <v>279339.15000000002</v>
      </c>
      <c r="AL4" s="42">
        <v>284872.005</v>
      </c>
      <c r="AM4" s="65">
        <v>286955.09499999997</v>
      </c>
      <c r="AN4" s="116">
        <v>289870.9963</v>
      </c>
      <c r="AO4" s="140">
        <v>290261.23</v>
      </c>
      <c r="AP4" s="149">
        <v>287136.59999999998</v>
      </c>
      <c r="AQ4" s="166">
        <v>293312.61499999999</v>
      </c>
      <c r="AR4" s="175">
        <v>283041.21000000002</v>
      </c>
      <c r="AS4" s="248">
        <v>284124.69</v>
      </c>
      <c r="AT4" s="257">
        <v>289252.48499999999</v>
      </c>
      <c r="AU4" s="264">
        <v>291329.95</v>
      </c>
    </row>
    <row r="5" spans="1:47" ht="15.75" customHeight="1" x14ac:dyDescent="0.25">
      <c r="A5" s="204" t="s">
        <v>59</v>
      </c>
      <c r="B5" s="144">
        <v>62130</v>
      </c>
      <c r="C5" s="24">
        <v>63045</v>
      </c>
      <c r="D5" s="24">
        <v>63204</v>
      </c>
      <c r="E5" s="25">
        <v>63872</v>
      </c>
      <c r="F5" s="24">
        <v>63600</v>
      </c>
      <c r="G5" s="24">
        <v>63995</v>
      </c>
      <c r="H5" s="25">
        <v>64369</v>
      </c>
      <c r="I5" s="25">
        <v>65010</v>
      </c>
      <c r="J5" s="25">
        <v>63649</v>
      </c>
      <c r="K5" s="25">
        <v>62948</v>
      </c>
      <c r="L5" s="25">
        <v>63742</v>
      </c>
      <c r="M5" s="25">
        <v>61477</v>
      </c>
      <c r="N5" s="25">
        <v>61627</v>
      </c>
      <c r="O5" s="25">
        <v>60483</v>
      </c>
      <c r="P5" s="25">
        <v>56557</v>
      </c>
      <c r="Q5" s="25">
        <v>57385</v>
      </c>
      <c r="R5" s="25">
        <v>56721</v>
      </c>
      <c r="S5" s="25">
        <v>58556</v>
      </c>
      <c r="T5" s="25">
        <v>59427</v>
      </c>
      <c r="U5" s="25">
        <v>60844</v>
      </c>
      <c r="V5" s="25">
        <v>60318</v>
      </c>
      <c r="W5" s="25">
        <v>58830</v>
      </c>
      <c r="X5" s="25">
        <v>59465</v>
      </c>
      <c r="Y5" s="25">
        <v>60286</v>
      </c>
      <c r="Z5" s="25">
        <v>61572</v>
      </c>
      <c r="AA5" s="25">
        <v>60281</v>
      </c>
      <c r="AB5" s="25">
        <v>60015</v>
      </c>
      <c r="AC5" s="25">
        <v>60668</v>
      </c>
      <c r="AD5" s="25">
        <v>61658</v>
      </c>
      <c r="AE5" s="25">
        <v>63658</v>
      </c>
      <c r="AF5" s="25">
        <v>61708</v>
      </c>
      <c r="AG5" s="25">
        <v>62110</v>
      </c>
      <c r="AH5" s="25">
        <v>61135</v>
      </c>
      <c r="AI5" s="25">
        <v>62254</v>
      </c>
      <c r="AJ5" s="25">
        <v>62280</v>
      </c>
      <c r="AK5" s="28">
        <v>62622.720000000001</v>
      </c>
      <c r="AL5" s="42">
        <v>63270.37</v>
      </c>
      <c r="AM5" s="65">
        <v>63852.394999999997</v>
      </c>
      <c r="AN5" s="116">
        <v>65093.35</v>
      </c>
      <c r="AO5" s="142">
        <v>63727.27</v>
      </c>
      <c r="AP5" s="149">
        <v>62962.57</v>
      </c>
      <c r="AQ5" s="166">
        <v>64165.125</v>
      </c>
      <c r="AR5" s="175">
        <v>63810.53</v>
      </c>
      <c r="AS5" s="249">
        <v>62119.6</v>
      </c>
      <c r="AT5" s="257">
        <v>63018.73</v>
      </c>
      <c r="AU5" s="265">
        <v>62300.2</v>
      </c>
    </row>
    <row r="6" spans="1:47" ht="15.75" customHeight="1" x14ac:dyDescent="0.25">
      <c r="A6" s="204" t="s">
        <v>73</v>
      </c>
      <c r="B6" s="144"/>
      <c r="C6" s="24"/>
      <c r="D6" s="24"/>
      <c r="E6" s="26"/>
      <c r="F6" s="24"/>
      <c r="G6" s="24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5">
        <v>50145</v>
      </c>
      <c r="AC6" s="25">
        <v>50145</v>
      </c>
      <c r="AD6" s="25">
        <v>50145</v>
      </c>
      <c r="AE6" s="25">
        <v>50124</v>
      </c>
      <c r="AF6" s="25">
        <v>50077</v>
      </c>
      <c r="AG6" s="25">
        <v>49951</v>
      </c>
      <c r="AH6" s="25">
        <v>49382</v>
      </c>
      <c r="AI6" s="25">
        <v>48336</v>
      </c>
      <c r="AJ6" s="25">
        <v>49521.53</v>
      </c>
      <c r="AK6" s="28">
        <v>50558.400000000001</v>
      </c>
      <c r="AL6" s="42">
        <v>51284.75</v>
      </c>
      <c r="AM6" s="65">
        <v>52438.97</v>
      </c>
      <c r="AN6" s="117">
        <v>51929.91</v>
      </c>
      <c r="AO6" s="142">
        <v>51823.39</v>
      </c>
      <c r="AP6" s="149">
        <v>50400.18</v>
      </c>
      <c r="AQ6" s="166">
        <v>52766.03</v>
      </c>
      <c r="AR6" s="175">
        <v>52012.28</v>
      </c>
      <c r="AS6" s="249">
        <v>51837.25</v>
      </c>
      <c r="AT6" s="257">
        <v>53039.3</v>
      </c>
      <c r="AU6" s="264">
        <v>53809.52</v>
      </c>
    </row>
    <row r="7" spans="1:47" ht="15.75" customHeight="1" x14ac:dyDescent="0.25">
      <c r="A7" s="204" t="s">
        <v>89</v>
      </c>
      <c r="B7" s="24"/>
      <c r="C7" s="24"/>
      <c r="D7" s="24"/>
      <c r="E7" s="26"/>
      <c r="F7" s="24"/>
      <c r="G7" s="24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5">
        <v>1500</v>
      </c>
      <c r="AC7" s="25">
        <v>1526</v>
      </c>
      <c r="AD7" s="25">
        <v>1613</v>
      </c>
      <c r="AE7" s="25">
        <v>1605</v>
      </c>
      <c r="AF7" s="25">
        <v>1566</v>
      </c>
      <c r="AG7" s="25">
        <v>1605.6</v>
      </c>
      <c r="AH7" s="25">
        <v>2572</v>
      </c>
      <c r="AI7" s="25">
        <v>2599</v>
      </c>
      <c r="AJ7" s="25">
        <v>2624.68</v>
      </c>
      <c r="AK7" s="28">
        <v>2603.64</v>
      </c>
      <c r="AL7" s="42">
        <v>2623.07</v>
      </c>
      <c r="AM7" s="65">
        <v>2689.97</v>
      </c>
      <c r="AN7" s="117">
        <v>2660.97</v>
      </c>
      <c r="AO7" s="142">
        <v>2650.33</v>
      </c>
      <c r="AP7" s="149">
        <v>2620.7800000000002</v>
      </c>
      <c r="AQ7" s="166">
        <v>2728.96</v>
      </c>
      <c r="AR7" s="176">
        <v>2734.99</v>
      </c>
      <c r="AS7" s="248">
        <v>2807.51</v>
      </c>
      <c r="AT7" s="257">
        <v>2830.4</v>
      </c>
      <c r="AU7" s="264">
        <v>2833.8</v>
      </c>
    </row>
    <row r="8" spans="1:47" ht="15.75" customHeight="1" x14ac:dyDescent="0.25">
      <c r="A8" s="204" t="s">
        <v>123</v>
      </c>
      <c r="B8" s="144">
        <v>165551</v>
      </c>
      <c r="C8" s="24">
        <v>165819</v>
      </c>
      <c r="D8" s="24">
        <v>162065</v>
      </c>
      <c r="E8" s="25">
        <v>166210</v>
      </c>
      <c r="F8" s="24">
        <v>169990</v>
      </c>
      <c r="G8" s="24">
        <v>166949</v>
      </c>
      <c r="H8" s="25">
        <v>166709</v>
      </c>
      <c r="I8" s="25">
        <v>169029</v>
      </c>
      <c r="J8" s="25">
        <v>164087</v>
      </c>
      <c r="K8" s="25">
        <v>160462</v>
      </c>
      <c r="L8" s="25">
        <v>153493</v>
      </c>
      <c r="M8" s="25">
        <v>150494</v>
      </c>
      <c r="N8" s="25">
        <v>151362</v>
      </c>
      <c r="O8" s="25">
        <v>147403</v>
      </c>
      <c r="P8" s="25">
        <v>132519</v>
      </c>
      <c r="Q8" s="25">
        <v>140458</v>
      </c>
      <c r="R8" s="25">
        <v>138329</v>
      </c>
      <c r="S8" s="25">
        <v>146480</v>
      </c>
      <c r="T8" s="25">
        <v>151256</v>
      </c>
      <c r="U8" s="25">
        <v>150857</v>
      </c>
      <c r="V8" s="25">
        <v>160921</v>
      </c>
      <c r="W8" s="25">
        <v>156962</v>
      </c>
      <c r="X8" s="25">
        <v>159656</v>
      </c>
      <c r="Y8" s="25">
        <v>163658</v>
      </c>
      <c r="Z8" s="25">
        <v>162113</v>
      </c>
      <c r="AA8" s="25">
        <v>162957</v>
      </c>
      <c r="AB8" s="25">
        <v>112508</v>
      </c>
      <c r="AC8" s="25">
        <v>117082</v>
      </c>
      <c r="AD8" s="25">
        <v>119228</v>
      </c>
      <c r="AE8" s="25">
        <v>119082</v>
      </c>
      <c r="AF8" s="25">
        <v>120374</v>
      </c>
      <c r="AG8" s="25">
        <v>122122</v>
      </c>
      <c r="AH8" s="25">
        <v>119606</v>
      </c>
      <c r="AI8" s="25">
        <v>123063</v>
      </c>
      <c r="AJ8" s="25">
        <v>124189</v>
      </c>
      <c r="AK8" s="28">
        <v>124315.15</v>
      </c>
      <c r="AL8" s="42">
        <v>124569.01</v>
      </c>
      <c r="AM8" s="65">
        <v>125882.01</v>
      </c>
      <c r="AN8" s="116">
        <v>128693.17</v>
      </c>
      <c r="AO8" s="141">
        <v>130969.32</v>
      </c>
      <c r="AP8" s="150">
        <v>129893.4</v>
      </c>
      <c r="AQ8" s="166">
        <v>132219.35999999999</v>
      </c>
      <c r="AR8" s="175">
        <v>128986.41</v>
      </c>
      <c r="AS8" s="248">
        <v>131199.01</v>
      </c>
      <c r="AT8" s="257">
        <v>134020.35</v>
      </c>
      <c r="AU8" s="264">
        <v>136538.98000000001</v>
      </c>
    </row>
    <row r="9" spans="1:47" ht="15.75" customHeight="1" x14ac:dyDescent="0.25">
      <c r="A9" s="18"/>
      <c r="B9" s="18"/>
      <c r="C9" s="18"/>
      <c r="D9" s="18"/>
      <c r="E9" s="18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</row>
    <row r="10" spans="1:47" ht="15.75" customHeight="1" x14ac:dyDescent="0.25">
      <c r="A10" s="204" t="s">
        <v>124</v>
      </c>
      <c r="B10" s="145">
        <f>IF(B5,SUM(B4:B8),"")</f>
        <v>482527</v>
      </c>
      <c r="C10" s="24">
        <v>490928</v>
      </c>
      <c r="D10" s="24">
        <v>482041</v>
      </c>
      <c r="E10" s="25">
        <v>497480</v>
      </c>
      <c r="F10" s="24">
        <v>504162</v>
      </c>
      <c r="G10" s="24">
        <v>500881</v>
      </c>
      <c r="H10" s="25">
        <v>508991</v>
      </c>
      <c r="I10" s="25">
        <v>513806</v>
      </c>
      <c r="J10" s="25">
        <v>500570</v>
      </c>
      <c r="K10" s="25">
        <v>487022</v>
      </c>
      <c r="L10" s="25">
        <v>472875</v>
      </c>
      <c r="M10" s="25">
        <v>464627</v>
      </c>
      <c r="N10" s="25">
        <v>465751</v>
      </c>
      <c r="O10" s="25">
        <v>451642</v>
      </c>
      <c r="P10" s="25">
        <v>408679</v>
      </c>
      <c r="Q10" s="25">
        <v>421994</v>
      </c>
      <c r="R10" s="25">
        <v>418651</v>
      </c>
      <c r="S10" s="25">
        <v>441694</v>
      </c>
      <c r="T10" s="25">
        <v>454355</v>
      </c>
      <c r="U10" s="25">
        <v>456679</v>
      </c>
      <c r="V10" s="25">
        <v>479357</v>
      </c>
      <c r="W10" s="25">
        <v>465212</v>
      </c>
      <c r="X10" s="25">
        <v>472582</v>
      </c>
      <c r="Y10" s="25">
        <v>488561</v>
      </c>
      <c r="Z10" s="25">
        <v>486509</v>
      </c>
      <c r="AA10" s="25">
        <v>488219</v>
      </c>
      <c r="AB10" s="25">
        <v>487320</v>
      </c>
      <c r="AC10" s="25">
        <v>502188</v>
      </c>
      <c r="AD10" s="25">
        <v>510778</v>
      </c>
      <c r="AE10" s="25">
        <v>512471</v>
      </c>
      <c r="AF10" s="25">
        <v>511155</v>
      </c>
      <c r="AG10" s="25">
        <v>514206.6</v>
      </c>
      <c r="AH10" s="25">
        <v>508216</v>
      </c>
      <c r="AI10" s="25">
        <v>511213</v>
      </c>
      <c r="AJ10" s="25">
        <v>516604.21</v>
      </c>
      <c r="AK10" s="28">
        <v>519439.06000000011</v>
      </c>
      <c r="AL10" s="50">
        <f>SUM(AL4:AL8)</f>
        <v>526619.20499999996</v>
      </c>
      <c r="AM10" s="66">
        <v>531818.34</v>
      </c>
      <c r="AN10" s="115">
        <v>538248.39630000002</v>
      </c>
      <c r="AO10" s="138">
        <v>539431.54</v>
      </c>
      <c r="AP10" s="148">
        <v>533013.53</v>
      </c>
      <c r="AQ10" s="167">
        <v>545192.09</v>
      </c>
      <c r="AR10" s="167">
        <v>530585.42000000004</v>
      </c>
      <c r="AS10" s="250">
        <v>532088.06000000006</v>
      </c>
      <c r="AT10" s="250">
        <v>542161.26500000001</v>
      </c>
      <c r="AU10" s="250">
        <v>546812.45000000007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8"/>
  <sheetViews>
    <sheetView workbookViewId="0">
      <pane xSplit="1" topLeftCell="AI1" activePane="topRight" state="frozen"/>
      <selection pane="topRight" activeCell="AR20" sqref="AR20"/>
    </sheetView>
  </sheetViews>
  <sheetFormatPr defaultRowHeight="15" x14ac:dyDescent="0.25"/>
  <cols>
    <col min="1" max="1" width="20.28515625" customWidth="1"/>
    <col min="2" max="42" width="15" customWidth="1"/>
    <col min="43" max="43" width="16" customWidth="1"/>
    <col min="44" max="46" width="15" customWidth="1"/>
  </cols>
  <sheetData>
    <row r="1" spans="1:46" ht="18" customHeight="1" x14ac:dyDescent="0.25">
      <c r="A1" s="284" t="s">
        <v>125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</row>
    <row r="3" spans="1:46" ht="15.75" customHeight="1" x14ac:dyDescent="0.25">
      <c r="A3" s="72" t="s">
        <v>11</v>
      </c>
      <c r="B3" s="72" t="s">
        <v>126</v>
      </c>
      <c r="C3" s="72" t="s">
        <v>127</v>
      </c>
      <c r="D3" s="72" t="s">
        <v>128</v>
      </c>
      <c r="E3" s="92" t="s">
        <v>129</v>
      </c>
      <c r="F3" s="72" t="s">
        <v>130</v>
      </c>
      <c r="G3" s="72" t="s">
        <v>131</v>
      </c>
      <c r="H3" s="72" t="s">
        <v>132</v>
      </c>
      <c r="I3" s="72" t="s">
        <v>133</v>
      </c>
      <c r="J3" s="72" t="s">
        <v>134</v>
      </c>
      <c r="K3" s="72" t="s">
        <v>135</v>
      </c>
      <c r="L3" s="72" t="s">
        <v>136</v>
      </c>
      <c r="M3" s="72" t="s">
        <v>137</v>
      </c>
      <c r="N3" s="72" t="s">
        <v>138</v>
      </c>
      <c r="O3" s="72" t="s">
        <v>139</v>
      </c>
      <c r="P3" s="72" t="s">
        <v>140</v>
      </c>
      <c r="Q3" s="72" t="s">
        <v>141</v>
      </c>
      <c r="R3" s="72" t="s">
        <v>142</v>
      </c>
      <c r="S3" s="72" t="s">
        <v>143</v>
      </c>
      <c r="T3" s="72" t="s">
        <v>144</v>
      </c>
      <c r="U3" s="72" t="s">
        <v>145</v>
      </c>
      <c r="V3" s="72" t="s">
        <v>146</v>
      </c>
      <c r="W3" s="72" t="s">
        <v>147</v>
      </c>
      <c r="X3" s="72" t="s">
        <v>148</v>
      </c>
      <c r="Y3" s="72" t="s">
        <v>149</v>
      </c>
      <c r="Z3" s="72" t="s">
        <v>150</v>
      </c>
      <c r="AA3" s="72" t="s">
        <v>151</v>
      </c>
      <c r="AB3" s="72" t="s">
        <v>152</v>
      </c>
      <c r="AC3" s="72" t="s">
        <v>153</v>
      </c>
      <c r="AD3" s="72" t="s">
        <v>154</v>
      </c>
      <c r="AE3" s="72" t="s">
        <v>155</v>
      </c>
      <c r="AF3" s="72" t="s">
        <v>156</v>
      </c>
      <c r="AG3" s="72" t="s">
        <v>157</v>
      </c>
      <c r="AH3" s="73">
        <v>46251</v>
      </c>
      <c r="AI3" s="74" t="s">
        <v>158</v>
      </c>
      <c r="AJ3" s="75" t="s">
        <v>159</v>
      </c>
      <c r="AK3" s="93" t="s">
        <v>160</v>
      </c>
      <c r="AL3" s="113" t="s">
        <v>116</v>
      </c>
      <c r="AM3" s="137" t="s">
        <v>117</v>
      </c>
      <c r="AN3" s="147" t="s">
        <v>118</v>
      </c>
      <c r="AO3" s="165" t="s">
        <v>119</v>
      </c>
      <c r="AP3" s="174" t="s">
        <v>161</v>
      </c>
      <c r="AQ3" s="180" t="s">
        <v>162</v>
      </c>
      <c r="AR3" s="247" t="s">
        <v>120</v>
      </c>
      <c r="AS3" s="256" t="s">
        <v>121</v>
      </c>
      <c r="AT3" s="263" t="s">
        <v>122</v>
      </c>
    </row>
    <row r="4" spans="1:46" ht="15.75" customHeight="1" x14ac:dyDescent="0.25">
      <c r="A4" s="76" t="s">
        <v>59</v>
      </c>
      <c r="B4" s="70">
        <v>10802</v>
      </c>
      <c r="C4" s="77">
        <v>11085</v>
      </c>
      <c r="D4" s="78">
        <v>11085</v>
      </c>
      <c r="E4" s="77">
        <v>11557</v>
      </c>
      <c r="F4" s="79">
        <v>10457</v>
      </c>
      <c r="G4" s="77">
        <v>10630</v>
      </c>
      <c r="H4" s="79">
        <v>10317</v>
      </c>
      <c r="I4" s="77">
        <v>10367</v>
      </c>
      <c r="J4" s="79">
        <v>10355</v>
      </c>
      <c r="K4" s="79">
        <v>10186</v>
      </c>
      <c r="L4" s="79">
        <v>9390</v>
      </c>
      <c r="M4" s="77">
        <v>9598</v>
      </c>
      <c r="N4" s="77">
        <v>9711</v>
      </c>
      <c r="O4" s="77">
        <v>10184</v>
      </c>
      <c r="P4" s="79">
        <v>8939</v>
      </c>
      <c r="Q4" s="79">
        <v>8687</v>
      </c>
      <c r="R4" s="77">
        <v>8762</v>
      </c>
      <c r="S4" s="79">
        <v>8670</v>
      </c>
      <c r="T4" s="77">
        <v>9046</v>
      </c>
      <c r="U4" s="77">
        <v>9348</v>
      </c>
      <c r="V4" s="79">
        <v>8916</v>
      </c>
      <c r="W4" s="77">
        <v>8973</v>
      </c>
      <c r="X4" s="79">
        <v>8886</v>
      </c>
      <c r="Y4" s="77">
        <v>9948</v>
      </c>
      <c r="Z4" s="79">
        <v>9739</v>
      </c>
      <c r="AA4" s="77">
        <v>9938</v>
      </c>
      <c r="AB4" s="77">
        <v>10408</v>
      </c>
      <c r="AC4" s="79">
        <v>9435</v>
      </c>
      <c r="AD4" s="77">
        <v>9462</v>
      </c>
      <c r="AE4" s="77">
        <v>9468</v>
      </c>
      <c r="AF4" s="77">
        <v>9815</v>
      </c>
      <c r="AG4" s="77">
        <v>10858</v>
      </c>
      <c r="AH4" s="80">
        <v>10834.32</v>
      </c>
      <c r="AI4" s="100">
        <v>10888.52</v>
      </c>
      <c r="AJ4" s="81">
        <v>10189.6</v>
      </c>
      <c r="AK4" s="94">
        <v>10341.19507689523</v>
      </c>
      <c r="AL4" s="151">
        <v>11117.50389051652</v>
      </c>
      <c r="AM4" s="142">
        <v>11036.6638658258</v>
      </c>
      <c r="AN4" s="152">
        <v>11422.06479579925</v>
      </c>
      <c r="AO4" s="168">
        <v>11408.75520984459</v>
      </c>
      <c r="AP4" s="241">
        <v>11150.61323727546</v>
      </c>
      <c r="AQ4" s="242">
        <v>11104.12</v>
      </c>
      <c r="AR4" s="248">
        <v>11151.9876</v>
      </c>
      <c r="AS4" s="258">
        <v>11085.1428</v>
      </c>
      <c r="AT4" s="264">
        <v>11509.165199999999</v>
      </c>
    </row>
    <row r="5" spans="1:46" ht="15.75" customHeight="1" x14ac:dyDescent="0.25">
      <c r="A5" s="76" t="s">
        <v>23</v>
      </c>
      <c r="B5" s="70">
        <v>30010</v>
      </c>
      <c r="C5" s="79">
        <v>26188</v>
      </c>
      <c r="D5" s="78">
        <v>26188</v>
      </c>
      <c r="E5" s="77">
        <v>28051</v>
      </c>
      <c r="F5" s="79">
        <v>26762</v>
      </c>
      <c r="G5" s="79">
        <v>26654</v>
      </c>
      <c r="H5" s="79">
        <v>26102</v>
      </c>
      <c r="I5" s="77">
        <v>26273</v>
      </c>
      <c r="J5" s="77">
        <v>26606</v>
      </c>
      <c r="K5" s="77">
        <v>26681</v>
      </c>
      <c r="L5" s="79">
        <v>24408</v>
      </c>
      <c r="M5" s="77">
        <v>25122</v>
      </c>
      <c r="N5" s="77">
        <v>25507</v>
      </c>
      <c r="O5" s="77">
        <v>26412</v>
      </c>
      <c r="P5" s="79">
        <v>23552</v>
      </c>
      <c r="Q5" s="79">
        <v>22754</v>
      </c>
      <c r="R5" s="77">
        <v>23014</v>
      </c>
      <c r="S5" s="77">
        <v>23562</v>
      </c>
      <c r="T5" s="77">
        <v>23760</v>
      </c>
      <c r="U5" s="77">
        <v>24614</v>
      </c>
      <c r="V5" s="79">
        <v>23284</v>
      </c>
      <c r="W5" s="79">
        <v>23263</v>
      </c>
      <c r="X5" s="77">
        <v>23548</v>
      </c>
      <c r="Y5" s="77">
        <v>26246</v>
      </c>
      <c r="Z5" s="79">
        <v>25629</v>
      </c>
      <c r="AA5" s="77">
        <v>26334</v>
      </c>
      <c r="AB5" s="77">
        <v>27812</v>
      </c>
      <c r="AC5" s="79">
        <v>25610</v>
      </c>
      <c r="AD5" s="77">
        <v>25926</v>
      </c>
      <c r="AE5" s="77">
        <v>26006</v>
      </c>
      <c r="AF5" s="77">
        <v>26410</v>
      </c>
      <c r="AG5" s="77">
        <v>28709</v>
      </c>
      <c r="AH5" s="82">
        <v>28723.9</v>
      </c>
      <c r="AI5" s="101">
        <v>29178.41</v>
      </c>
      <c r="AJ5" s="104">
        <v>28628.77</v>
      </c>
      <c r="AK5" s="105">
        <v>28444.072576446499</v>
      </c>
      <c r="AL5" s="114">
        <v>27048.321187650599</v>
      </c>
      <c r="AM5" s="142">
        <v>26601.4320053673</v>
      </c>
      <c r="AN5" s="152">
        <v>28305.843272601302</v>
      </c>
      <c r="AO5" s="168">
        <v>27153.1402451986</v>
      </c>
      <c r="AP5" s="175">
        <v>26550.537321027099</v>
      </c>
      <c r="AQ5" s="242">
        <v>26325.360000000001</v>
      </c>
      <c r="AR5" s="248">
        <v>26540.953600000001</v>
      </c>
      <c r="AS5" s="258">
        <v>26458.7536</v>
      </c>
      <c r="AT5" s="264">
        <v>26545.350399999999</v>
      </c>
    </row>
    <row r="6" spans="1:46" ht="15.75" customHeight="1" x14ac:dyDescent="0.25">
      <c r="A6" s="76" t="s">
        <v>73</v>
      </c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83">
        <v>646.04</v>
      </c>
      <c r="AE6" s="77">
        <v>6868</v>
      </c>
      <c r="AF6" s="77">
        <v>8404</v>
      </c>
      <c r="AG6" s="79">
        <v>8323</v>
      </c>
      <c r="AH6" s="80">
        <v>8098.8</v>
      </c>
      <c r="AI6" s="100">
        <v>8924.02</v>
      </c>
      <c r="AJ6" s="103">
        <v>8931.92</v>
      </c>
      <c r="AK6" s="105">
        <v>8806.8143492886611</v>
      </c>
      <c r="AL6" s="114">
        <v>7527.8047363999985</v>
      </c>
      <c r="AM6" s="142">
        <v>7480.4673667999996</v>
      </c>
      <c r="AN6" s="152">
        <v>8577.886727359999</v>
      </c>
      <c r="AO6" s="166">
        <v>8620.3199110856349</v>
      </c>
      <c r="AP6" s="176">
        <v>8629.4375383999995</v>
      </c>
      <c r="AQ6" s="181">
        <v>10702.72</v>
      </c>
      <c r="AR6" s="248">
        <v>15372.748</v>
      </c>
      <c r="AS6" s="258">
        <v>12944.3968</v>
      </c>
      <c r="AT6" s="264">
        <v>13183.368</v>
      </c>
    </row>
    <row r="7" spans="1:46" ht="15.75" customHeight="1" x14ac:dyDescent="0.25">
      <c r="A7" s="76" t="s">
        <v>89</v>
      </c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83">
        <v>106.25</v>
      </c>
      <c r="AB7" s="78">
        <v>106.25</v>
      </c>
      <c r="AC7" s="78">
        <v>106.25</v>
      </c>
      <c r="AD7" s="78">
        <v>106.25</v>
      </c>
      <c r="AE7" s="77">
        <v>1526</v>
      </c>
      <c r="AF7" s="79">
        <v>255</v>
      </c>
      <c r="AG7" s="77">
        <v>670</v>
      </c>
      <c r="AH7" s="82">
        <v>674</v>
      </c>
      <c r="AI7" s="100">
        <v>674.04</v>
      </c>
      <c r="AJ7" s="102">
        <v>674.04</v>
      </c>
      <c r="AK7" s="94">
        <v>674.41063499999996</v>
      </c>
      <c r="AL7" s="114">
        <v>546.17272500000001</v>
      </c>
      <c r="AM7" s="142">
        <v>544.8663812499999</v>
      </c>
      <c r="AN7" s="152">
        <v>552.71203749999995</v>
      </c>
      <c r="AO7" s="166">
        <v>557.94685125000001</v>
      </c>
      <c r="AP7" s="175">
        <v>552.56245749999994</v>
      </c>
      <c r="AQ7" s="181">
        <v>552.44000000000005</v>
      </c>
      <c r="AR7" s="249">
        <v>552.3152</v>
      </c>
      <c r="AS7" s="258">
        <v>543.57920000000001</v>
      </c>
      <c r="AT7" s="264">
        <v>598.3248000000001</v>
      </c>
    </row>
    <row r="8" spans="1:46" ht="15.75" customHeight="1" x14ac:dyDescent="0.25">
      <c r="A8" s="83"/>
      <c r="B8" s="56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</row>
    <row r="9" spans="1:46" ht="15.75" customHeight="1" x14ac:dyDescent="0.25">
      <c r="A9" s="76" t="s">
        <v>163</v>
      </c>
      <c r="B9" s="84">
        <f>SUM(B4:B5)/12</f>
        <v>3401</v>
      </c>
      <c r="C9" s="85">
        <v>3106.083333333333</v>
      </c>
      <c r="D9" s="86">
        <v>3106.083333333333</v>
      </c>
      <c r="E9" s="85">
        <v>3300.666666666667</v>
      </c>
      <c r="F9" s="87">
        <v>3101.583333333333</v>
      </c>
      <c r="G9" s="88">
        <f>SUM(G4:G5)/12</f>
        <v>3107</v>
      </c>
      <c r="H9" s="87">
        <v>3034.916666666667</v>
      </c>
      <c r="I9" s="89">
        <v>314.32583333333332</v>
      </c>
      <c r="J9" s="85">
        <v>3080.083333333333</v>
      </c>
      <c r="K9" s="87">
        <v>3072.25</v>
      </c>
      <c r="L9" s="87">
        <v>2816.5</v>
      </c>
      <c r="M9" s="85">
        <v>2893.333333333333</v>
      </c>
      <c r="N9" s="85">
        <v>2934.833333333333</v>
      </c>
      <c r="O9" s="85">
        <v>3049.666666666667</v>
      </c>
      <c r="P9" s="87">
        <v>2707.583333333333</v>
      </c>
      <c r="Q9" s="87">
        <v>2620.083333333333</v>
      </c>
      <c r="R9" s="90">
        <v>2648</v>
      </c>
      <c r="S9" s="90">
        <v>2686</v>
      </c>
      <c r="T9" s="90">
        <v>2733.833333333333</v>
      </c>
      <c r="U9" s="85">
        <v>2830.166666666667</v>
      </c>
      <c r="V9" s="87">
        <v>2683.333333333333</v>
      </c>
      <c r="W9" s="85">
        <v>2686.333333333333</v>
      </c>
      <c r="X9" s="85">
        <v>2702.833333333333</v>
      </c>
      <c r="Y9" s="85">
        <v>3016.166666666667</v>
      </c>
      <c r="Z9" s="87">
        <v>2947.333333333333</v>
      </c>
      <c r="AA9" s="85">
        <v>3031.520833333333</v>
      </c>
      <c r="AB9" s="85">
        <v>3193.854166666667</v>
      </c>
      <c r="AC9" s="87">
        <v>2929.270833333333</v>
      </c>
      <c r="AD9" s="85">
        <v>3011.690833333334</v>
      </c>
      <c r="AE9" s="85">
        <v>3655.666666666667</v>
      </c>
      <c r="AF9" s="85">
        <v>3740.333333333333</v>
      </c>
      <c r="AG9" s="85">
        <v>4046.666666666667</v>
      </c>
      <c r="AH9" s="87">
        <v>4027.5875000000001</v>
      </c>
      <c r="AI9" s="91">
        <f t="shared" ref="AI9:AT9" si="0">SUM(AI4:AI7)/12</f>
        <v>4138.7491666666665</v>
      </c>
      <c r="AJ9" s="106">
        <f t="shared" si="0"/>
        <v>4035.3608333333336</v>
      </c>
      <c r="AK9" s="50">
        <f t="shared" si="0"/>
        <v>4022.2077198025322</v>
      </c>
      <c r="AL9" s="119">
        <f t="shared" si="0"/>
        <v>3853.3168782972602</v>
      </c>
      <c r="AM9" s="143">
        <f t="shared" si="0"/>
        <v>3805.2858016035921</v>
      </c>
      <c r="AN9" s="153">
        <f t="shared" si="0"/>
        <v>4071.542236105046</v>
      </c>
      <c r="AO9" s="169">
        <f t="shared" si="0"/>
        <v>3978.3468514482356</v>
      </c>
      <c r="AP9" s="177">
        <f t="shared" si="0"/>
        <v>3906.9292128502129</v>
      </c>
      <c r="AQ9" s="182">
        <f t="shared" si="0"/>
        <v>4057.0533333333337</v>
      </c>
      <c r="AR9" s="251">
        <f t="shared" si="0"/>
        <v>4468.1670333333332</v>
      </c>
      <c r="AS9" s="259">
        <f t="shared" si="0"/>
        <v>4252.6560333333337</v>
      </c>
      <c r="AT9" s="266">
        <f t="shared" si="0"/>
        <v>4319.6840333333339</v>
      </c>
    </row>
    <row r="11" spans="1:46" x14ac:dyDescent="0.25">
      <c r="A11" s="69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</sheetData>
  <mergeCells count="1">
    <mergeCell ref="A1:AG1"/>
  </mergeCells>
  <conditionalFormatting sqref="AK9">
    <cfRule type="expression" dxfId="63" priority="1">
      <formula>AJ9 = AK9</formula>
    </cfRule>
    <cfRule type="expression" dxfId="62" priority="2">
      <formula>AJ9 &gt; AK9</formula>
    </cfRule>
    <cfRule type="expression" dxfId="61" priority="3">
      <formula>AJ9 &lt; AK9</formula>
    </cfRule>
  </conditionalFormatting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0"/>
  <sheetViews>
    <sheetView workbookViewId="0">
      <selection activeCell="G2" sqref="G2:J2"/>
    </sheetView>
  </sheetViews>
  <sheetFormatPr defaultRowHeight="15" x14ac:dyDescent="0.25"/>
  <cols>
    <col min="4" max="4" width="9.28515625" customWidth="1"/>
    <col min="7" max="7" width="11.7109375" customWidth="1"/>
    <col min="8" max="8" width="14.42578125" customWidth="1"/>
    <col min="9" max="9" width="12" customWidth="1"/>
    <col min="10" max="10" width="10.7109375" customWidth="1"/>
    <col min="11" max="11" width="11.85546875" customWidth="1"/>
    <col min="12" max="13" width="11.140625" customWidth="1"/>
    <col min="14" max="14" width="13" customWidth="1"/>
    <col min="38" max="41" width="11.140625" customWidth="1"/>
  </cols>
  <sheetData>
    <row r="1" spans="1:50" ht="21" customHeight="1" x14ac:dyDescent="0.35">
      <c r="A1" s="191" t="s">
        <v>73</v>
      </c>
      <c r="B1" s="205"/>
      <c r="C1" s="205"/>
      <c r="D1" s="206"/>
      <c r="E1" s="205"/>
      <c r="F1" s="205"/>
      <c r="G1" s="207"/>
      <c r="H1" s="205"/>
      <c r="I1" s="205"/>
      <c r="J1" s="205"/>
      <c r="K1" s="205"/>
      <c r="L1" s="205"/>
      <c r="M1" s="205"/>
      <c r="N1" s="205"/>
      <c r="O1" s="205"/>
      <c r="P1" s="120"/>
      <c r="Q1" s="120"/>
      <c r="R1" s="12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</row>
    <row r="2" spans="1:50" ht="21" customHeight="1" x14ac:dyDescent="0.35">
      <c r="A2" s="232"/>
      <c r="B2" s="221"/>
      <c r="C2" s="221"/>
      <c r="D2" s="217"/>
      <c r="E2" s="221"/>
      <c r="F2" s="221"/>
      <c r="G2" s="210" t="s">
        <v>291</v>
      </c>
      <c r="H2" s="1">
        <f>M2*12</f>
        <v>12236.060985999999</v>
      </c>
      <c r="I2" s="221" t="s">
        <v>292</v>
      </c>
      <c r="J2" s="1">
        <f>N2*12</f>
        <v>13184.064142000003</v>
      </c>
      <c r="K2" s="221"/>
      <c r="L2" s="210">
        <f>AVERAGE(L4:L22)</f>
        <v>0.65312335714285719</v>
      </c>
      <c r="M2" s="210">
        <f>SUM(M4:M27)</f>
        <v>1019.6717488333333</v>
      </c>
      <c r="N2" s="210">
        <f>SUM(N4:N27)</f>
        <v>1098.6720118333335</v>
      </c>
      <c r="O2" s="223">
        <f>AVERAGE(O4:O27)/100</f>
        <v>0.2866285714285714</v>
      </c>
      <c r="P2" s="223">
        <f>AVERAGE(P4:P27)/100</f>
        <v>0.27417142857142862</v>
      </c>
      <c r="Q2" s="223">
        <f>AVERAGE(Q4:Q27)/100</f>
        <v>0.25376666666666664</v>
      </c>
      <c r="R2" s="223">
        <f>AVERAGE(R4:R27)/100</f>
        <v>0.29254999999999998</v>
      </c>
      <c r="S2" s="223">
        <f>AVERAGE(S4:S27)</f>
        <v>0.29782611125034342</v>
      </c>
      <c r="T2" s="223">
        <f>AVERAGE(T4:T27)</f>
        <v>0.19751742534893557</v>
      </c>
      <c r="U2" s="223">
        <f>AVERAGE(U4:U27)</f>
        <v>0.20165850197851895</v>
      </c>
      <c r="V2" s="223">
        <f>AVERAGE(V4:V27)</f>
        <v>0.20951717753623189</v>
      </c>
      <c r="W2" s="223">
        <f>AVERAGE(W4:W27)</f>
        <v>0.20920838444491346</v>
      </c>
      <c r="X2" s="223">
        <f>AVERAGE(X4:X27)</f>
        <v>0.154475</v>
      </c>
      <c r="Y2" s="223">
        <f>AVERAGE(Y4:Y27)</f>
        <v>0.152725</v>
      </c>
      <c r="Z2" s="223">
        <f>AVERAGE(Z4:Z27)/100</f>
        <v>0.1575</v>
      </c>
      <c r="AA2" s="223">
        <f>AVERAGE(AA4:AA27)/100</f>
        <v>0.16072500000000001</v>
      </c>
      <c r="AB2" s="223">
        <f>AVERAGE(AB4:AB27)/100</f>
        <v>0.16550000000000001</v>
      </c>
      <c r="AC2" s="223">
        <f>AVERAGE(AC4:AC27)/100</f>
        <v>0.16042500000000001</v>
      </c>
      <c r="AD2" s="223">
        <f>AVERAGE(AD4:AD27)/100</f>
        <v>0.15784999999999999</v>
      </c>
      <c r="AE2" s="223">
        <f>AVERAGE(AE4:AE27)/100</f>
        <v>0.217025</v>
      </c>
      <c r="AF2" s="223">
        <f>AVERAGE(AF4:AF27)/100</f>
        <v>0.15285000000000001</v>
      </c>
      <c r="AG2" s="223">
        <f>AVERAGE(AG4:AG27)/100</f>
        <v>0.1532</v>
      </c>
      <c r="AH2" s="223">
        <f>AVERAGE(AH4:AH27)/100</f>
        <v>0.1532</v>
      </c>
      <c r="AI2" s="223">
        <f>AVERAGE(AI4:AI27)/100</f>
        <v>0.1532</v>
      </c>
      <c r="AJ2" s="223">
        <f>AVERAGE(AJ4:AJ27)/100</f>
        <v>0.1532</v>
      </c>
      <c r="AK2" s="223">
        <f>AVERAGE(AK4:AK27)/100</f>
        <v>0.1532</v>
      </c>
      <c r="AL2" s="223">
        <f>AVERAGE(AL4:AL27)/100</f>
        <v>0.1532</v>
      </c>
      <c r="AM2" s="223">
        <f>AVERAGE(AM4:AM27)/100</f>
        <v>0.1532</v>
      </c>
      <c r="AN2" s="223">
        <f>AVERAGE(AN4:AN27)/100</f>
        <v>0.1532</v>
      </c>
      <c r="AO2" s="223">
        <f>AVERAGE(AO4:AO27)/100</f>
        <v>0.1532</v>
      </c>
      <c r="AP2" s="223">
        <f>AVERAGE(AP4:AP27)/100</f>
        <v>0.1532</v>
      </c>
      <c r="AQ2" s="223">
        <f>AVERAGE(AQ4:AQ27)/100</f>
        <v>0.1532</v>
      </c>
      <c r="AR2" s="223">
        <f>AVERAGE(AR4:AR27)/100</f>
        <v>0.1532</v>
      </c>
      <c r="AS2" s="223">
        <f>AVERAGE(AS4:AS27)/100</f>
        <v>0.1532</v>
      </c>
      <c r="AT2" s="223">
        <f>AVERAGE(AT4:AT27)/100</f>
        <v>0.1532</v>
      </c>
      <c r="AU2" s="223">
        <f>AVERAGE(AU4:AU27)/100</f>
        <v>0.1532</v>
      </c>
      <c r="AV2" s="223">
        <f>AVERAGE(AV4:AV27)/100</f>
        <v>0.1532</v>
      </c>
      <c r="AW2" s="221"/>
      <c r="AX2" s="221"/>
    </row>
    <row r="3" spans="1:50" ht="63" customHeight="1" x14ac:dyDescent="0.25">
      <c r="A3" s="123" t="s">
        <v>164</v>
      </c>
      <c r="B3" s="124" t="s">
        <v>165</v>
      </c>
      <c r="C3" s="123" t="s">
        <v>166</v>
      </c>
      <c r="D3" s="125" t="s">
        <v>167</v>
      </c>
      <c r="E3" s="123" t="s">
        <v>168</v>
      </c>
      <c r="F3" s="123" t="s">
        <v>169</v>
      </c>
      <c r="G3" s="126" t="s">
        <v>170</v>
      </c>
      <c r="H3" s="38" t="s">
        <v>171</v>
      </c>
      <c r="I3" s="123" t="s">
        <v>172</v>
      </c>
      <c r="J3" s="128" t="s">
        <v>173</v>
      </c>
      <c r="K3" s="129" t="s">
        <v>174</v>
      </c>
      <c r="L3" s="38" t="s">
        <v>175</v>
      </c>
      <c r="M3" s="126" t="s">
        <v>176</v>
      </c>
      <c r="N3" s="129" t="s">
        <v>177</v>
      </c>
      <c r="O3" s="123" t="s">
        <v>178</v>
      </c>
      <c r="P3" t="s">
        <v>179</v>
      </c>
      <c r="Q3" t="s">
        <v>180</v>
      </c>
      <c r="R3" t="s">
        <v>181</v>
      </c>
      <c r="S3" s="193" t="s">
        <v>182</v>
      </c>
      <c r="T3" s="193" t="s">
        <v>183</v>
      </c>
      <c r="U3" s="193" t="s">
        <v>184</v>
      </c>
      <c r="V3" s="193" t="s">
        <v>185</v>
      </c>
      <c r="W3" s="193" t="s">
        <v>186</v>
      </c>
      <c r="X3" t="s">
        <v>187</v>
      </c>
      <c r="Y3" t="s">
        <v>188</v>
      </c>
      <c r="Z3" t="s">
        <v>189</v>
      </c>
      <c r="AA3" t="s">
        <v>190</v>
      </c>
      <c r="AB3" t="s">
        <v>191</v>
      </c>
      <c r="AC3" t="s">
        <v>192</v>
      </c>
      <c r="AD3" t="s">
        <v>193</v>
      </c>
      <c r="AE3" t="s">
        <v>194</v>
      </c>
      <c r="AF3" t="s">
        <v>195</v>
      </c>
      <c r="AG3" t="s">
        <v>196</v>
      </c>
      <c r="AH3" t="s">
        <v>197</v>
      </c>
      <c r="AI3" t="s">
        <v>198</v>
      </c>
      <c r="AJ3" t="s">
        <v>199</v>
      </c>
      <c r="AK3" t="s">
        <v>200</v>
      </c>
      <c r="AL3" t="s">
        <v>201</v>
      </c>
      <c r="AM3" t="s">
        <v>202</v>
      </c>
      <c r="AN3" t="s">
        <v>203</v>
      </c>
      <c r="AO3" t="s">
        <v>204</v>
      </c>
      <c r="AP3" t="s">
        <v>205</v>
      </c>
      <c r="AQ3" t="s">
        <v>206</v>
      </c>
      <c r="AR3" t="s">
        <v>207</v>
      </c>
      <c r="AS3" s="209">
        <v>45753</v>
      </c>
      <c r="AT3" s="209">
        <v>45746</v>
      </c>
      <c r="AU3" s="209">
        <v>45740</v>
      </c>
      <c r="AV3" s="209">
        <v>45732</v>
      </c>
      <c r="AW3" s="3" t="s">
        <v>11</v>
      </c>
    </row>
    <row r="4" spans="1:50" ht="15.75" customHeight="1" x14ac:dyDescent="0.25">
      <c r="A4" s="194" t="s">
        <v>208</v>
      </c>
      <c r="B4" s="199">
        <v>1060</v>
      </c>
      <c r="C4" s="4">
        <v>9.42</v>
      </c>
      <c r="D4" s="196">
        <v>10</v>
      </c>
      <c r="E4" s="4">
        <f t="shared" ref="E4:E9" si="0">D4-C4</f>
        <v>0.58000000000000007</v>
      </c>
      <c r="F4" s="6">
        <f t="shared" ref="F4:F9" si="1">(D4/C4)/100</f>
        <v>1.0615711252653927E-2</v>
      </c>
      <c r="G4" s="7">
        <f t="shared" ref="G4:G9" si="2">B4*D4</f>
        <v>10600</v>
      </c>
      <c r="H4" s="210">
        <f t="shared" ref="H4:H9" si="3">B4*C4</f>
        <v>9985.2000000000007</v>
      </c>
      <c r="I4" s="7">
        <f t="shared" ref="I4:I9" si="4">G4-H4</f>
        <v>614.79999999999927</v>
      </c>
      <c r="J4" s="9">
        <v>45880.701817129629</v>
      </c>
      <c r="K4" t="s">
        <v>209</v>
      </c>
      <c r="L4" s="210">
        <f>(((D4*P4))/12)/100</f>
        <v>0.12</v>
      </c>
      <c r="M4" s="210">
        <f t="shared" ref="M4:M9" si="5">((B4*C4)*O4/100)/12</f>
        <v>127.97698000000001</v>
      </c>
      <c r="N4" s="211">
        <f>(($B4*$D4)*(P4)/12)/100</f>
        <v>127.2</v>
      </c>
      <c r="O4" s="13">
        <v>15.38</v>
      </c>
      <c r="P4" s="267">
        <v>14.4</v>
      </c>
      <c r="Q4" s="260">
        <v>14.12</v>
      </c>
      <c r="R4" s="252">
        <v>14.41</v>
      </c>
      <c r="S4" s="212">
        <v>0.14501500000000001</v>
      </c>
      <c r="T4" s="212">
        <v>0.14385600000000001</v>
      </c>
      <c r="U4" s="213">
        <v>0.14754100000000001</v>
      </c>
      <c r="V4" s="213">
        <v>0.14257400000000001</v>
      </c>
      <c r="W4" s="213">
        <v>0.141454</v>
      </c>
      <c r="X4" s="212">
        <v>0.14119999999999999</v>
      </c>
      <c r="Y4" s="212">
        <v>0.1489</v>
      </c>
      <c r="Z4" s="214">
        <v>14.57</v>
      </c>
      <c r="AA4" s="214">
        <v>14.98</v>
      </c>
      <c r="AB4" s="214">
        <v>15.3</v>
      </c>
      <c r="AC4" s="214">
        <v>15.27</v>
      </c>
      <c r="AD4" s="214">
        <v>14.83</v>
      </c>
      <c r="AE4" s="215">
        <v>15.52</v>
      </c>
      <c r="AF4" s="214">
        <v>15.24</v>
      </c>
      <c r="AG4" s="13">
        <v>15.38</v>
      </c>
      <c r="AH4" s="13">
        <v>15.38</v>
      </c>
      <c r="AI4" s="13">
        <v>15.38</v>
      </c>
      <c r="AJ4" s="13">
        <v>15.38</v>
      </c>
      <c r="AK4" s="13">
        <v>15.38</v>
      </c>
      <c r="AL4" s="13">
        <v>15.38</v>
      </c>
      <c r="AM4" s="13">
        <v>15.38</v>
      </c>
      <c r="AN4" s="13">
        <v>15.38</v>
      </c>
      <c r="AO4" s="13">
        <v>15.38</v>
      </c>
      <c r="AP4" s="13">
        <v>15.38</v>
      </c>
      <c r="AQ4" s="13">
        <v>15.38</v>
      </c>
      <c r="AR4" s="13">
        <v>15.38</v>
      </c>
      <c r="AS4" s="13">
        <v>15.38</v>
      </c>
      <c r="AT4" s="13">
        <v>15.38</v>
      </c>
      <c r="AU4" s="13">
        <v>15.38</v>
      </c>
      <c r="AV4" s="13">
        <v>15.38</v>
      </c>
      <c r="AW4" t="s">
        <v>73</v>
      </c>
    </row>
    <row r="5" spans="1:50" ht="15.75" customHeight="1" x14ac:dyDescent="0.25">
      <c r="A5" s="194" t="s">
        <v>210</v>
      </c>
      <c r="B5" s="199">
        <v>400</v>
      </c>
      <c r="C5" s="4">
        <v>12.5</v>
      </c>
      <c r="D5" s="196">
        <v>13.24</v>
      </c>
      <c r="E5" s="4">
        <f t="shared" si="0"/>
        <v>0.74000000000000021</v>
      </c>
      <c r="F5" s="6">
        <f t="shared" si="1"/>
        <v>1.0591999999999999E-2</v>
      </c>
      <c r="G5" s="7">
        <f t="shared" si="2"/>
        <v>5296</v>
      </c>
      <c r="H5" s="210">
        <f t="shared" si="3"/>
        <v>5000</v>
      </c>
      <c r="I5" s="7">
        <f t="shared" si="4"/>
        <v>296</v>
      </c>
      <c r="J5" s="9">
        <v>45870.701817129629</v>
      </c>
      <c r="K5" t="s">
        <v>209</v>
      </c>
      <c r="L5" s="210">
        <f t="shared" ref="L5:L10" si="6">(((D5*P5))/12)/100</f>
        <v>0.17002366666666668</v>
      </c>
      <c r="M5" s="210">
        <f t="shared" si="5"/>
        <v>66.208333333333329</v>
      </c>
      <c r="N5" s="211">
        <f t="shared" ref="N5:N10" si="7">(($B5*$D5)*(P5)/12)/100</f>
        <v>68.009466666666668</v>
      </c>
      <c r="O5" s="217">
        <v>15.89</v>
      </c>
      <c r="P5" s="267">
        <v>15.41</v>
      </c>
      <c r="Q5" s="260">
        <v>15.22</v>
      </c>
      <c r="R5" s="252">
        <v>15.25</v>
      </c>
      <c r="S5" s="212">
        <v>0.157165</v>
      </c>
      <c r="T5" s="218">
        <v>0.161137</v>
      </c>
      <c r="U5" s="219">
        <v>0.169435</v>
      </c>
      <c r="V5" s="219">
        <v>0.16491500000000001</v>
      </c>
      <c r="W5" s="219">
        <v>0.16280900000000001</v>
      </c>
      <c r="X5" s="218">
        <v>0.15970000000000001</v>
      </c>
      <c r="Y5" s="218">
        <v>0.1633</v>
      </c>
      <c r="Z5" s="215">
        <v>16.37</v>
      </c>
      <c r="AA5" s="215">
        <v>16.23</v>
      </c>
      <c r="AB5" s="215">
        <v>16.55</v>
      </c>
      <c r="AC5" s="215">
        <v>16.399999999999999</v>
      </c>
      <c r="AD5" s="215">
        <v>16</v>
      </c>
      <c r="AE5" s="215">
        <v>16.22</v>
      </c>
      <c r="AF5" s="217">
        <v>15.89</v>
      </c>
      <c r="AG5" s="217">
        <v>15.89</v>
      </c>
      <c r="AH5" s="217">
        <v>15.89</v>
      </c>
      <c r="AI5" s="217">
        <v>15.89</v>
      </c>
      <c r="AJ5" s="217">
        <v>15.89</v>
      </c>
      <c r="AK5" s="217">
        <v>15.89</v>
      </c>
      <c r="AL5" s="217">
        <v>15.89</v>
      </c>
      <c r="AM5" s="217">
        <v>15.89</v>
      </c>
      <c r="AN5" s="217">
        <v>15.89</v>
      </c>
      <c r="AO5" s="217">
        <v>15.89</v>
      </c>
      <c r="AP5" s="217">
        <v>15.89</v>
      </c>
      <c r="AQ5" s="217">
        <v>15.89</v>
      </c>
      <c r="AR5" s="217">
        <v>15.89</v>
      </c>
      <c r="AS5" s="217">
        <v>15.89</v>
      </c>
      <c r="AT5" s="217">
        <v>15.89</v>
      </c>
      <c r="AU5" s="217">
        <v>15.89</v>
      </c>
      <c r="AV5" s="217">
        <v>15.89</v>
      </c>
      <c r="AW5" t="s">
        <v>73</v>
      </c>
    </row>
    <row r="6" spans="1:50" ht="15.75" customHeight="1" x14ac:dyDescent="0.25">
      <c r="A6" s="194" t="s">
        <v>211</v>
      </c>
      <c r="B6" s="199">
        <v>1330</v>
      </c>
      <c r="C6" s="4">
        <v>7.43</v>
      </c>
      <c r="D6" s="196">
        <v>6.21</v>
      </c>
      <c r="E6" s="4">
        <f t="shared" si="0"/>
        <v>-1.2199999999999998</v>
      </c>
      <c r="F6" s="6">
        <f t="shared" si="1"/>
        <v>8.3580080753701217E-3</v>
      </c>
      <c r="G6" s="7">
        <f t="shared" si="2"/>
        <v>8259.2999999999993</v>
      </c>
      <c r="H6" s="210">
        <f t="shared" si="3"/>
        <v>9881.9</v>
      </c>
      <c r="I6" s="7">
        <f t="shared" si="4"/>
        <v>-1622.6000000000004</v>
      </c>
      <c r="J6" s="220">
        <v>45870.701817129629</v>
      </c>
      <c r="K6" t="s">
        <v>209</v>
      </c>
      <c r="L6" s="210">
        <f t="shared" si="6"/>
        <v>0.13998375000000002</v>
      </c>
      <c r="M6" s="210">
        <f t="shared" si="5"/>
        <v>125.41778083333332</v>
      </c>
      <c r="N6" s="211">
        <f t="shared" si="7"/>
        <v>186.17838749999999</v>
      </c>
      <c r="O6" s="217">
        <v>15.23</v>
      </c>
      <c r="P6" s="268">
        <v>27.05</v>
      </c>
      <c r="Q6" s="261">
        <v>26.92</v>
      </c>
      <c r="R6" s="253">
        <v>27.72</v>
      </c>
      <c r="S6" s="240">
        <v>0.253776</v>
      </c>
      <c r="T6" s="218">
        <v>0.24383199999999999</v>
      </c>
      <c r="U6" s="219">
        <v>0.25493199999999999</v>
      </c>
      <c r="V6" s="219">
        <v>0.24</v>
      </c>
      <c r="W6" s="219">
        <v>0.239316</v>
      </c>
      <c r="X6" s="218">
        <v>9.8799999999999999E-2</v>
      </c>
      <c r="Y6" s="212">
        <v>6.9800000000000001E-2</v>
      </c>
      <c r="Z6" s="215">
        <v>8.1999999999999993</v>
      </c>
      <c r="AA6" s="214">
        <v>7.85</v>
      </c>
      <c r="AB6" s="215">
        <v>8.14</v>
      </c>
      <c r="AC6" s="214">
        <v>8.08</v>
      </c>
      <c r="AD6" s="214">
        <v>8</v>
      </c>
      <c r="AE6" s="215">
        <v>32.4</v>
      </c>
      <c r="AF6" s="221">
        <v>8.08</v>
      </c>
      <c r="AG6" s="221">
        <v>8.08</v>
      </c>
      <c r="AH6" s="221">
        <v>8.08</v>
      </c>
      <c r="AI6" s="221">
        <v>8.08</v>
      </c>
      <c r="AJ6" s="221">
        <v>8.08</v>
      </c>
      <c r="AK6" s="221">
        <v>8.08</v>
      </c>
      <c r="AL6" s="221">
        <v>8.08</v>
      </c>
      <c r="AM6" s="221">
        <v>8.08</v>
      </c>
      <c r="AN6" s="221">
        <v>8.08</v>
      </c>
      <c r="AO6" s="221">
        <v>8.08</v>
      </c>
      <c r="AP6" s="221">
        <v>8.08</v>
      </c>
      <c r="AQ6" s="221">
        <v>8.08</v>
      </c>
      <c r="AR6" s="221">
        <v>8.08</v>
      </c>
      <c r="AS6" s="221">
        <v>8.08</v>
      </c>
      <c r="AT6" s="221">
        <v>8.08</v>
      </c>
      <c r="AU6" s="221">
        <v>8.08</v>
      </c>
      <c r="AV6" s="221">
        <v>8.08</v>
      </c>
      <c r="AW6" t="s">
        <v>73</v>
      </c>
    </row>
    <row r="7" spans="1:50" ht="15.75" customHeight="1" x14ac:dyDescent="0.25">
      <c r="A7" s="194" t="s">
        <v>212</v>
      </c>
      <c r="B7" s="199">
        <v>369</v>
      </c>
      <c r="C7" s="4">
        <v>35.299999999999997</v>
      </c>
      <c r="D7" s="196">
        <v>36.090000000000003</v>
      </c>
      <c r="E7" s="4">
        <f t="shared" si="0"/>
        <v>0.79000000000000625</v>
      </c>
      <c r="F7" s="6">
        <f t="shared" si="1"/>
        <v>1.0223796033994337E-2</v>
      </c>
      <c r="G7" s="7">
        <f t="shared" si="2"/>
        <v>13317.210000000001</v>
      </c>
      <c r="H7" s="210">
        <f t="shared" si="3"/>
        <v>13025.699999999999</v>
      </c>
      <c r="I7" s="7">
        <f t="shared" si="4"/>
        <v>291.51000000000204</v>
      </c>
      <c r="J7" s="220">
        <v>45898.701817129629</v>
      </c>
      <c r="K7" t="s">
        <v>213</v>
      </c>
      <c r="L7" s="210">
        <f t="shared" si="6"/>
        <v>1.0219484999999999</v>
      </c>
      <c r="M7" s="210">
        <f t="shared" si="5"/>
        <v>318.36981749999995</v>
      </c>
      <c r="N7" s="211">
        <f t="shared" si="7"/>
        <v>377.0989965</v>
      </c>
      <c r="O7" s="4">
        <v>29.33</v>
      </c>
      <c r="P7" s="268">
        <v>33.979999999999997</v>
      </c>
      <c r="Q7" s="260">
        <v>29.04</v>
      </c>
      <c r="R7" s="253">
        <v>30.37</v>
      </c>
      <c r="S7" s="218">
        <v>0.30888242142025613</v>
      </c>
      <c r="T7" s="218">
        <v>0.30365712674467782</v>
      </c>
      <c r="U7" s="219">
        <v>0.29924250989259471</v>
      </c>
      <c r="V7" s="219">
        <v>0.29057971014492751</v>
      </c>
      <c r="W7" s="219">
        <v>0.29325453777965388</v>
      </c>
      <c r="X7" s="212">
        <v>0.21820000000000001</v>
      </c>
      <c r="Y7" s="218">
        <v>0.22889999999999999</v>
      </c>
      <c r="Z7" s="215">
        <v>23.86</v>
      </c>
      <c r="AA7" s="215">
        <v>25.23</v>
      </c>
      <c r="AB7" s="215">
        <v>26.21</v>
      </c>
      <c r="AC7" s="215">
        <v>24.42</v>
      </c>
      <c r="AD7" s="215">
        <v>24.31</v>
      </c>
      <c r="AE7" s="215">
        <v>22.67</v>
      </c>
      <c r="AF7" s="221">
        <v>21.93</v>
      </c>
      <c r="AG7" s="221">
        <v>21.93</v>
      </c>
      <c r="AH7" s="221">
        <v>21.93</v>
      </c>
      <c r="AI7" s="221">
        <v>21.93</v>
      </c>
      <c r="AJ7" s="221">
        <v>21.93</v>
      </c>
      <c r="AK7" s="221">
        <v>21.93</v>
      </c>
      <c r="AL7" s="221">
        <v>21.93</v>
      </c>
      <c r="AM7" s="221">
        <v>21.93</v>
      </c>
      <c r="AN7" s="221">
        <v>21.93</v>
      </c>
      <c r="AO7" s="221">
        <v>21.93</v>
      </c>
      <c r="AP7" s="221">
        <v>21.93</v>
      </c>
      <c r="AQ7" s="221">
        <v>21.93</v>
      </c>
      <c r="AR7" s="221">
        <v>21.93</v>
      </c>
      <c r="AS7" s="221">
        <v>21.93</v>
      </c>
      <c r="AT7" s="221">
        <v>21.93</v>
      </c>
      <c r="AU7" s="221">
        <v>21.93</v>
      </c>
      <c r="AV7" s="221">
        <v>21.93</v>
      </c>
      <c r="AW7" t="s">
        <v>73</v>
      </c>
    </row>
    <row r="8" spans="1:50" ht="15.75" customHeight="1" x14ac:dyDescent="0.25">
      <c r="A8" s="194" t="s">
        <v>214</v>
      </c>
      <c r="B8" s="194">
        <v>134</v>
      </c>
      <c r="C8" s="4">
        <v>53.92</v>
      </c>
      <c r="D8" s="196">
        <v>55.52</v>
      </c>
      <c r="E8" s="4">
        <f t="shared" si="0"/>
        <v>1.6000000000000014</v>
      </c>
      <c r="F8" s="6">
        <f t="shared" si="1"/>
        <v>1.0296735905044509E-2</v>
      </c>
      <c r="G8" s="7">
        <f t="shared" si="2"/>
        <v>7439.68</v>
      </c>
      <c r="H8" s="210">
        <f t="shared" si="3"/>
        <v>7225.2800000000007</v>
      </c>
      <c r="I8" s="7">
        <f t="shared" si="4"/>
        <v>214.39999999999964</v>
      </c>
      <c r="J8" s="9">
        <v>45922</v>
      </c>
      <c r="K8" t="s">
        <v>209</v>
      </c>
      <c r="L8" s="210">
        <f t="shared" si="6"/>
        <v>0.64449466666666666</v>
      </c>
      <c r="M8" s="210">
        <f t="shared" si="5"/>
        <v>82.488613333333333</v>
      </c>
      <c r="N8" s="211">
        <f t="shared" si="7"/>
        <v>86.362285333333332</v>
      </c>
      <c r="O8" s="217">
        <v>13.7</v>
      </c>
      <c r="P8" s="268">
        <v>13.93</v>
      </c>
      <c r="Q8" s="261">
        <v>14.1</v>
      </c>
      <c r="R8" s="253">
        <v>14.12</v>
      </c>
      <c r="S8" s="218">
        <v>0.62429213483146073</v>
      </c>
      <c r="T8" s="212">
        <v>0.135105</v>
      </c>
      <c r="U8" s="222">
        <v>0.13714199999999999</v>
      </c>
    </row>
    <row r="9" spans="1:50" ht="15.75" customHeight="1" x14ac:dyDescent="0.25">
      <c r="A9" s="235" t="s">
        <v>215</v>
      </c>
      <c r="B9" s="235">
        <v>62</v>
      </c>
      <c r="C9" s="236">
        <v>46.33</v>
      </c>
      <c r="D9" s="236">
        <v>50.99</v>
      </c>
      <c r="E9" s="4">
        <f t="shared" si="0"/>
        <v>4.6600000000000037</v>
      </c>
      <c r="F9" s="6">
        <f t="shared" si="1"/>
        <v>1.1005827757392618E-2</v>
      </c>
      <c r="G9" s="7">
        <f t="shared" si="2"/>
        <v>3161.38</v>
      </c>
      <c r="H9" s="210">
        <f t="shared" si="3"/>
        <v>2872.46</v>
      </c>
      <c r="I9" s="7">
        <f t="shared" si="4"/>
        <v>288.92000000000007</v>
      </c>
      <c r="J9" s="14">
        <v>45952</v>
      </c>
      <c r="K9" t="s">
        <v>213</v>
      </c>
      <c r="L9" s="210">
        <f t="shared" si="6"/>
        <v>2.1118358333333336</v>
      </c>
      <c r="M9" s="210">
        <f>((B9*C9)*O9/12)/100</f>
        <v>176.32116966666663</v>
      </c>
      <c r="N9" s="211">
        <f t="shared" si="7"/>
        <v>130.93382166666669</v>
      </c>
      <c r="O9" s="236">
        <v>73.66</v>
      </c>
      <c r="P9" s="267">
        <v>49.7</v>
      </c>
      <c r="Q9" s="260">
        <v>52.86</v>
      </c>
      <c r="R9" s="253">
        <v>73.66</v>
      </c>
    </row>
    <row r="10" spans="1:50" ht="15.75" x14ac:dyDescent="0.25">
      <c r="A10" s="269" t="s">
        <v>216</v>
      </c>
      <c r="B10" s="269">
        <v>338</v>
      </c>
      <c r="C10" s="270">
        <v>11.65</v>
      </c>
      <c r="D10" s="270">
        <v>11.65</v>
      </c>
      <c r="E10" s="271">
        <f>D10-C10</f>
        <v>0</v>
      </c>
      <c r="F10" s="6">
        <f t="shared" ref="F10" si="8">(D10/C10)/100</f>
        <v>0.01</v>
      </c>
      <c r="G10" s="7">
        <f t="shared" ref="G10" si="9">B10*D10</f>
        <v>3937.7000000000003</v>
      </c>
      <c r="H10" s="210">
        <f t="shared" ref="H10" si="10">B10*C10</f>
        <v>3937.7000000000003</v>
      </c>
      <c r="I10" s="7">
        <f t="shared" ref="I10" si="11">G10-H10</f>
        <v>0</v>
      </c>
      <c r="J10" s="289">
        <v>45961</v>
      </c>
      <c r="K10" t="s">
        <v>213</v>
      </c>
      <c r="L10" s="210">
        <f t="shared" si="6"/>
        <v>0.36357708333333333</v>
      </c>
      <c r="M10" s="210">
        <f t="shared" ref="M10" si="12">((B10*C10)*O10/100)/12</f>
        <v>122.8890541666667</v>
      </c>
      <c r="N10" s="211">
        <f t="shared" si="7"/>
        <v>122.88905416666668</v>
      </c>
      <c r="O10" s="270">
        <v>37.450000000000003</v>
      </c>
      <c r="P10" s="272">
        <v>37.450000000000003</v>
      </c>
    </row>
  </sheetData>
  <conditionalFormatting sqref="N4:N10">
    <cfRule type="expression" dxfId="60" priority="10">
      <formula>M4&lt;N4</formula>
    </cfRule>
    <cfRule type="expression" dxfId="59" priority="11">
      <formula>M4&gt;N4</formula>
    </cfRule>
    <cfRule type="expression" dxfId="58" priority="12">
      <formula>M4=N4</formula>
    </cfRule>
  </conditionalFormatting>
  <conditionalFormatting sqref="P9">
    <cfRule type="expression" dxfId="57" priority="1">
      <formula>O9&gt;P9</formula>
    </cfRule>
    <cfRule type="expression" dxfId="56" priority="2">
      <formula>O9&lt;P9</formula>
    </cfRule>
    <cfRule type="expression" dxfId="55" priority="3">
      <formula>O9=P9</formula>
    </cfRule>
  </conditionalFormatting>
  <conditionalFormatting sqref="P2:AV2">
    <cfRule type="expression" dxfId="54" priority="4">
      <formula>O4&gt;P4</formula>
    </cfRule>
    <cfRule type="expression" dxfId="53" priority="5">
      <formula>O4&lt;P4</formula>
    </cfRule>
    <cfRule type="expression" dxfId="52" priority="6">
      <formula>O4=P4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8"/>
  <sheetViews>
    <sheetView workbookViewId="0">
      <selection activeCell="G2" sqref="G2:J2"/>
    </sheetView>
  </sheetViews>
  <sheetFormatPr defaultRowHeight="15" x14ac:dyDescent="0.25"/>
  <cols>
    <col min="4" max="4" width="9.28515625" customWidth="1"/>
    <col min="7" max="7" width="11.7109375" customWidth="1"/>
    <col min="8" max="8" width="14.42578125" customWidth="1"/>
    <col min="9" max="9" width="12" customWidth="1"/>
    <col min="10" max="10" width="10.7109375" customWidth="1"/>
    <col min="12" max="13" width="11.140625" customWidth="1"/>
    <col min="14" max="14" width="13" customWidth="1"/>
    <col min="38" max="41" width="11.5703125" customWidth="1"/>
  </cols>
  <sheetData>
    <row r="1" spans="1:50" ht="21.75" customHeight="1" x14ac:dyDescent="0.35">
      <c r="A1" s="191" t="s">
        <v>89</v>
      </c>
      <c r="B1" s="205"/>
      <c r="C1" s="205"/>
      <c r="D1" s="206"/>
      <c r="E1" s="205"/>
      <c r="F1" s="205"/>
      <c r="G1" s="207"/>
      <c r="H1" s="205"/>
      <c r="I1" s="205"/>
      <c r="J1" s="205"/>
      <c r="K1" s="205"/>
      <c r="L1" s="205"/>
      <c r="M1" s="205"/>
      <c r="N1" s="205"/>
      <c r="O1" s="205"/>
      <c r="P1" s="120"/>
      <c r="Q1" s="120"/>
      <c r="R1" s="12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</row>
    <row r="2" spans="1:50" ht="21.75" customHeight="1" x14ac:dyDescent="0.35">
      <c r="A2" s="232"/>
      <c r="B2" s="221"/>
      <c r="C2" s="221"/>
      <c r="D2" s="217"/>
      <c r="E2" s="221"/>
      <c r="F2" s="221"/>
      <c r="G2" s="210" t="s">
        <v>291</v>
      </c>
      <c r="H2" s="1">
        <f>M2*12</f>
        <v>464.289266</v>
      </c>
      <c r="I2" s="221" t="s">
        <v>292</v>
      </c>
      <c r="J2" s="1">
        <f>N2*12</f>
        <v>598.41019599999993</v>
      </c>
      <c r="K2" s="221"/>
      <c r="L2" s="210">
        <f>AVERAGE(L4:L26)</f>
        <v>59.598608333333331</v>
      </c>
      <c r="M2" s="210">
        <f>SUM(M4:M31)</f>
        <v>38.690772166666669</v>
      </c>
      <c r="N2" s="210">
        <f>SUM(N4:N31)</f>
        <v>49.867516333333327</v>
      </c>
      <c r="O2" s="223">
        <f>AVERAGE(O4:O31)/100</f>
        <v>0.18909999999999999</v>
      </c>
      <c r="P2" s="223">
        <f>AVERAGE(P4:P31)/100</f>
        <v>0.24695</v>
      </c>
      <c r="Q2" s="223">
        <f t="shared" ref="Q2:AV2" si="0">AVERAGE(Q4:Q31)/100</f>
        <v>0.2213</v>
      </c>
      <c r="R2" s="223">
        <f t="shared" si="0"/>
        <v>0.22810000000000002</v>
      </c>
      <c r="S2" s="223">
        <f>AVERAGE(S4:S31)</f>
        <v>0.23302371071012806</v>
      </c>
      <c r="T2" s="223">
        <f t="shared" ref="T2:Y2" si="1">AVERAGE(T4:T31)</f>
        <v>0.2323970633723389</v>
      </c>
      <c r="U2" s="223">
        <f t="shared" si="1"/>
        <v>0.23433875494629736</v>
      </c>
      <c r="V2" s="223">
        <f t="shared" si="1"/>
        <v>0.22774735507246374</v>
      </c>
      <c r="W2" s="223">
        <f t="shared" si="1"/>
        <v>0.22803176888982696</v>
      </c>
      <c r="X2" s="223">
        <f t="shared" si="1"/>
        <v>0.12925</v>
      </c>
      <c r="Y2" s="223">
        <f t="shared" si="1"/>
        <v>0.11655</v>
      </c>
      <c r="Z2" s="223">
        <f t="shared" si="0"/>
        <v>0.12285</v>
      </c>
      <c r="AA2" s="223">
        <f t="shared" si="0"/>
        <v>0.12039999999999999</v>
      </c>
      <c r="AB2" s="223">
        <f t="shared" si="0"/>
        <v>0.12345</v>
      </c>
      <c r="AC2" s="223">
        <f t="shared" si="0"/>
        <v>0.12239999999999998</v>
      </c>
      <c r="AD2" s="223">
        <f t="shared" si="0"/>
        <v>0.12</v>
      </c>
      <c r="AE2" s="223">
        <f t="shared" si="0"/>
        <v>0.24309999999999998</v>
      </c>
      <c r="AF2" s="223">
        <f t="shared" si="0"/>
        <v>0.11985</v>
      </c>
      <c r="AG2" s="223">
        <f t="shared" si="0"/>
        <v>0.11985</v>
      </c>
      <c r="AH2" s="223">
        <f t="shared" si="0"/>
        <v>0.11985</v>
      </c>
      <c r="AI2" s="223">
        <f t="shared" si="0"/>
        <v>0.11985</v>
      </c>
      <c r="AJ2" s="223">
        <f t="shared" si="0"/>
        <v>0.11985</v>
      </c>
      <c r="AK2" s="223">
        <f t="shared" si="0"/>
        <v>0.11985</v>
      </c>
      <c r="AL2" s="223">
        <f t="shared" si="0"/>
        <v>0.11985</v>
      </c>
      <c r="AM2" s="223">
        <f t="shared" si="0"/>
        <v>0.11985</v>
      </c>
      <c r="AN2" s="223">
        <f t="shared" si="0"/>
        <v>0.11985</v>
      </c>
      <c r="AO2" s="223">
        <f t="shared" si="0"/>
        <v>0.11985</v>
      </c>
      <c r="AP2" s="223">
        <f t="shared" si="0"/>
        <v>0.11985</v>
      </c>
      <c r="AQ2" s="223">
        <f t="shared" si="0"/>
        <v>0.11985</v>
      </c>
      <c r="AR2" s="223">
        <f t="shared" si="0"/>
        <v>0.11985</v>
      </c>
      <c r="AS2" s="223">
        <f t="shared" si="0"/>
        <v>0.11985</v>
      </c>
      <c r="AT2" s="223">
        <f t="shared" si="0"/>
        <v>0.11985</v>
      </c>
      <c r="AU2" s="223">
        <f t="shared" si="0"/>
        <v>0.11985</v>
      </c>
      <c r="AV2" s="223">
        <f t="shared" si="0"/>
        <v>0.11985</v>
      </c>
      <c r="AW2" s="221"/>
      <c r="AX2" s="221"/>
    </row>
    <row r="3" spans="1:50" ht="48.75" customHeight="1" x14ac:dyDescent="0.25">
      <c r="A3" s="123" t="s">
        <v>164</v>
      </c>
      <c r="B3" s="124" t="s">
        <v>165</v>
      </c>
      <c r="C3" s="123" t="s">
        <v>166</v>
      </c>
      <c r="D3" s="125" t="s">
        <v>167</v>
      </c>
      <c r="E3" s="123" t="s">
        <v>168</v>
      </c>
      <c r="F3" s="123" t="s">
        <v>169</v>
      </c>
      <c r="G3" s="126" t="s">
        <v>170</v>
      </c>
      <c r="H3" s="38" t="s">
        <v>171</v>
      </c>
      <c r="I3" s="123" t="s">
        <v>172</v>
      </c>
      <c r="J3" s="128" t="s">
        <v>173</v>
      </c>
      <c r="K3" s="129" t="s">
        <v>174</v>
      </c>
      <c r="L3" s="38" t="s">
        <v>175</v>
      </c>
      <c r="M3" s="126" t="s">
        <v>176</v>
      </c>
      <c r="N3" s="129" t="s">
        <v>177</v>
      </c>
      <c r="O3" s="123" t="s">
        <v>178</v>
      </c>
      <c r="P3" t="s">
        <v>179</v>
      </c>
      <c r="Q3" t="s">
        <v>180</v>
      </c>
      <c r="R3" t="s">
        <v>181</v>
      </c>
      <c r="S3" s="193" t="s">
        <v>182</v>
      </c>
      <c r="T3" s="193" t="s">
        <v>183</v>
      </c>
      <c r="U3" s="193" t="s">
        <v>184</v>
      </c>
      <c r="V3" s="193" t="s">
        <v>185</v>
      </c>
      <c r="W3" s="193" t="s">
        <v>186</v>
      </c>
      <c r="X3" t="s">
        <v>187</v>
      </c>
      <c r="Y3" t="s">
        <v>188</v>
      </c>
      <c r="Z3" t="s">
        <v>189</v>
      </c>
      <c r="AA3" t="s">
        <v>190</v>
      </c>
      <c r="AB3" t="s">
        <v>191</v>
      </c>
      <c r="AC3" t="s">
        <v>192</v>
      </c>
      <c r="AD3" t="s">
        <v>193</v>
      </c>
      <c r="AE3" t="s">
        <v>194</v>
      </c>
      <c r="AF3" t="s">
        <v>195</v>
      </c>
      <c r="AG3" t="s">
        <v>196</v>
      </c>
      <c r="AH3" t="s">
        <v>197</v>
      </c>
      <c r="AI3" t="s">
        <v>198</v>
      </c>
      <c r="AJ3" t="s">
        <v>199</v>
      </c>
      <c r="AK3" t="s">
        <v>200</v>
      </c>
      <c r="AL3" t="s">
        <v>201</v>
      </c>
      <c r="AM3" t="s">
        <v>202</v>
      </c>
      <c r="AN3" t="s">
        <v>203</v>
      </c>
      <c r="AO3" t="s">
        <v>204</v>
      </c>
      <c r="AP3" t="s">
        <v>205</v>
      </c>
      <c r="AQ3" t="s">
        <v>206</v>
      </c>
      <c r="AR3" t="s">
        <v>207</v>
      </c>
      <c r="AS3" s="209">
        <v>45753</v>
      </c>
      <c r="AT3" s="209">
        <v>45746</v>
      </c>
      <c r="AU3" s="209">
        <v>45740</v>
      </c>
      <c r="AV3" s="209">
        <v>45732</v>
      </c>
      <c r="AW3" s="3" t="s">
        <v>11</v>
      </c>
    </row>
    <row r="4" spans="1:50" ht="15.75" customHeight="1" x14ac:dyDescent="0.25">
      <c r="A4" s="194" t="s">
        <v>210</v>
      </c>
      <c r="B4" s="195">
        <v>125</v>
      </c>
      <c r="C4" s="4">
        <v>12.62</v>
      </c>
      <c r="D4" s="196">
        <v>13.24</v>
      </c>
      <c r="E4" s="4">
        <f>D4-C4</f>
        <v>0.62000000000000099</v>
      </c>
      <c r="F4" s="6">
        <f>(D4/C4)/100</f>
        <v>1.0491283676703647E-2</v>
      </c>
      <c r="G4" s="7">
        <f>B4*D4</f>
        <v>1655</v>
      </c>
      <c r="H4" s="210">
        <f>B4*C4</f>
        <v>1577.5</v>
      </c>
      <c r="I4" s="7">
        <f>G4-H4</f>
        <v>77.5</v>
      </c>
      <c r="J4" s="9">
        <v>45870.701817129629</v>
      </c>
      <c r="K4" t="s">
        <v>209</v>
      </c>
      <c r="L4" s="210">
        <f>((D4*P4))/12</f>
        <v>17.002366666666667</v>
      </c>
      <c r="M4" s="210">
        <f>((B4*C4)*O4/100)/12</f>
        <v>20.888729166666668</v>
      </c>
      <c r="N4" s="211">
        <f>(($B4*$D4)*(P4)/12)/100</f>
        <v>21.252958333333332</v>
      </c>
      <c r="O4" s="217">
        <v>15.89</v>
      </c>
      <c r="P4" s="267">
        <v>15.41</v>
      </c>
      <c r="Q4" s="260">
        <v>15.22</v>
      </c>
      <c r="R4" s="252">
        <v>15.25</v>
      </c>
      <c r="S4" s="212">
        <v>0.157165</v>
      </c>
      <c r="T4" s="218">
        <v>0.161137</v>
      </c>
      <c r="U4" s="219">
        <v>0.169435</v>
      </c>
      <c r="V4" s="219">
        <v>0.16491500000000001</v>
      </c>
      <c r="W4" s="219">
        <v>0.16280900000000001</v>
      </c>
      <c r="X4" s="218">
        <v>0.15970000000000001</v>
      </c>
      <c r="Y4" s="218">
        <v>0.1633</v>
      </c>
      <c r="Z4" s="215">
        <v>16.37</v>
      </c>
      <c r="AA4" s="215">
        <v>16.23</v>
      </c>
      <c r="AB4" s="215">
        <v>16.55</v>
      </c>
      <c r="AC4" s="215">
        <v>16.399999999999999</v>
      </c>
      <c r="AD4" s="215">
        <v>16</v>
      </c>
      <c r="AE4" s="215">
        <v>16.22</v>
      </c>
      <c r="AF4" s="217">
        <v>15.89</v>
      </c>
      <c r="AG4" s="217">
        <v>15.89</v>
      </c>
      <c r="AH4" s="217">
        <v>15.89</v>
      </c>
      <c r="AI4" s="217">
        <v>15.89</v>
      </c>
      <c r="AJ4" s="217">
        <v>15.89</v>
      </c>
      <c r="AK4" s="217">
        <v>15.89</v>
      </c>
      <c r="AL4" s="217">
        <v>15.89</v>
      </c>
      <c r="AM4" s="217">
        <v>15.89</v>
      </c>
      <c r="AN4" s="217">
        <v>15.89</v>
      </c>
      <c r="AO4" s="217">
        <v>15.89</v>
      </c>
      <c r="AP4" s="217">
        <v>15.89</v>
      </c>
      <c r="AQ4" s="217">
        <v>15.89</v>
      </c>
      <c r="AR4" s="217">
        <v>15.89</v>
      </c>
      <c r="AS4" s="217">
        <v>15.89</v>
      </c>
      <c r="AT4" s="217">
        <v>15.89</v>
      </c>
      <c r="AU4" s="217">
        <v>15.89</v>
      </c>
      <c r="AV4" s="217">
        <v>15.89</v>
      </c>
      <c r="AW4" s="11" t="s">
        <v>217</v>
      </c>
    </row>
    <row r="5" spans="1:50" ht="15.75" customHeight="1" x14ac:dyDescent="0.25">
      <c r="A5" s="194" t="s">
        <v>212</v>
      </c>
      <c r="B5" s="195">
        <v>28</v>
      </c>
      <c r="C5" s="4">
        <v>34.79</v>
      </c>
      <c r="D5" s="196">
        <v>36.090000000000003</v>
      </c>
      <c r="E5" s="4">
        <f>D5-C5</f>
        <v>1.3000000000000043</v>
      </c>
      <c r="F5" s="6">
        <f>(D5/C5)/100</f>
        <v>1.0373670594998562E-2</v>
      </c>
      <c r="G5" s="7">
        <f>B5*D5</f>
        <v>1010.5200000000001</v>
      </c>
      <c r="H5" s="210">
        <f>B5*C5</f>
        <v>974.12</v>
      </c>
      <c r="I5" s="7">
        <f>G5-H5</f>
        <v>36.400000000000091</v>
      </c>
      <c r="J5" s="220">
        <v>45870.701817129629</v>
      </c>
      <c r="K5" t="s">
        <v>213</v>
      </c>
      <c r="L5" s="210">
        <f>((D5*P5))/12</f>
        <v>102.19484999999999</v>
      </c>
      <c r="M5" s="210">
        <f>((B5*C5)*O5/100)/12</f>
        <v>17.802043000000001</v>
      </c>
      <c r="N5" s="211">
        <f>(($B5*$D5)*(P5)/12)/100</f>
        <v>28.614557999999999</v>
      </c>
      <c r="O5" s="221">
        <v>21.93</v>
      </c>
      <c r="P5" s="268">
        <v>33.979999999999997</v>
      </c>
      <c r="Q5" s="261">
        <v>29.04</v>
      </c>
      <c r="R5" s="253">
        <v>30.37</v>
      </c>
      <c r="S5" s="218">
        <v>0.30888242142025613</v>
      </c>
      <c r="T5" s="218">
        <v>0.30365712674467782</v>
      </c>
      <c r="U5" s="219">
        <v>0.29924250989259471</v>
      </c>
      <c r="V5" s="219">
        <v>0.29057971014492751</v>
      </c>
      <c r="W5" s="219">
        <v>0.29325453777965388</v>
      </c>
      <c r="X5" s="218">
        <v>9.8799999999999999E-2</v>
      </c>
      <c r="Y5" s="212">
        <v>6.9800000000000001E-2</v>
      </c>
      <c r="Z5" s="215">
        <v>8.1999999999999993</v>
      </c>
      <c r="AA5" s="214">
        <v>7.85</v>
      </c>
      <c r="AB5" s="215">
        <v>8.14</v>
      </c>
      <c r="AC5" s="214">
        <v>8.08</v>
      </c>
      <c r="AD5" s="214">
        <v>8</v>
      </c>
      <c r="AE5" s="215">
        <v>32.4</v>
      </c>
      <c r="AF5" s="221">
        <v>8.08</v>
      </c>
      <c r="AG5" s="221">
        <v>8.08</v>
      </c>
      <c r="AH5" s="221">
        <v>8.08</v>
      </c>
      <c r="AI5" s="221">
        <v>8.08</v>
      </c>
      <c r="AJ5" s="221">
        <v>8.08</v>
      </c>
      <c r="AK5" s="221">
        <v>8.08</v>
      </c>
      <c r="AL5" s="221">
        <v>8.08</v>
      </c>
      <c r="AM5" s="221">
        <v>8.08</v>
      </c>
      <c r="AN5" s="221">
        <v>8.08</v>
      </c>
      <c r="AO5" s="221">
        <v>8.08</v>
      </c>
      <c r="AP5" s="221">
        <v>8.08</v>
      </c>
      <c r="AQ5" s="221">
        <v>8.08</v>
      </c>
      <c r="AR5" s="221">
        <v>8.08</v>
      </c>
      <c r="AS5" s="221">
        <v>8.08</v>
      </c>
      <c r="AT5" s="221">
        <v>8.08</v>
      </c>
      <c r="AU5" s="221">
        <v>8.08</v>
      </c>
      <c r="AV5" s="221">
        <v>8.08</v>
      </c>
      <c r="AW5" s="11" t="s">
        <v>217</v>
      </c>
    </row>
    <row r="7" spans="1:50" x14ac:dyDescent="0.25">
      <c r="K7" s="1"/>
    </row>
    <row r="8" spans="1:50" x14ac:dyDescent="0.25">
      <c r="K8" s="1"/>
    </row>
  </sheetData>
  <conditionalFormatting sqref="N4:N5">
    <cfRule type="expression" dxfId="51" priority="7">
      <formula>M4&lt;N4</formula>
    </cfRule>
    <cfRule type="expression" dxfId="50" priority="8">
      <formula>M4&gt;N4</formula>
    </cfRule>
    <cfRule type="expression" dxfId="49" priority="9">
      <formula>M4=N4</formula>
    </cfRule>
  </conditionalFormatting>
  <conditionalFormatting sqref="P2:AV2">
    <cfRule type="expression" dxfId="48" priority="1">
      <formula>O4&lt;P4</formula>
    </cfRule>
    <cfRule type="expression" dxfId="47" priority="2">
      <formula>O4&gt;P4</formula>
    </cfRule>
    <cfRule type="expression" dxfId="46" priority="3">
      <formula>O4=P4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4"/>
  <sheetViews>
    <sheetView workbookViewId="0">
      <selection activeCell="G2" sqref="G2:J2"/>
    </sheetView>
  </sheetViews>
  <sheetFormatPr defaultRowHeight="15" x14ac:dyDescent="0.25"/>
  <cols>
    <col min="4" max="4" width="9.28515625" customWidth="1"/>
    <col min="7" max="7" width="11.7109375" customWidth="1"/>
    <col min="8" max="8" width="14.42578125" customWidth="1"/>
    <col min="9" max="9" width="12" customWidth="1"/>
    <col min="10" max="10" width="10.7109375" customWidth="1"/>
    <col min="12" max="13" width="11.140625" customWidth="1"/>
    <col min="14" max="14" width="13" customWidth="1"/>
  </cols>
  <sheetData>
    <row r="1" spans="1:50" ht="21" customHeight="1" x14ac:dyDescent="0.35">
      <c r="A1" s="191" t="s">
        <v>218</v>
      </c>
      <c r="B1" s="208"/>
      <c r="C1" s="208"/>
      <c r="D1" s="224"/>
      <c r="E1" s="208"/>
      <c r="F1" s="208"/>
      <c r="G1" s="225"/>
      <c r="H1" s="208"/>
      <c r="I1" s="208"/>
      <c r="J1" s="208"/>
      <c r="K1" s="208"/>
      <c r="L1" s="208"/>
      <c r="M1" s="208"/>
      <c r="N1" s="208"/>
      <c r="O1" s="208"/>
      <c r="P1" s="120"/>
      <c r="Q1" s="120"/>
      <c r="R1" s="12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</row>
    <row r="2" spans="1:50" ht="21" customHeight="1" x14ac:dyDescent="0.35">
      <c r="A2" s="232"/>
      <c r="B2" s="221"/>
      <c r="C2" s="221"/>
      <c r="D2" s="217"/>
      <c r="E2" s="221"/>
      <c r="F2" s="221"/>
      <c r="G2" s="210" t="s">
        <v>291</v>
      </c>
      <c r="H2" s="1">
        <f>M2*12</f>
        <v>31670.843541050002</v>
      </c>
      <c r="I2" s="221" t="s">
        <v>292</v>
      </c>
      <c r="J2" s="1">
        <f>N2*12</f>
        <v>25918.798408999995</v>
      </c>
      <c r="K2" s="221"/>
      <c r="L2" s="210">
        <f>AVERAGE(L4:L26)</f>
        <v>0.25231601960784317</v>
      </c>
      <c r="M2" s="210">
        <f>SUM(M4:M31)</f>
        <v>2639.2369617541667</v>
      </c>
      <c r="N2" s="210">
        <f>SUM(N4:N31)</f>
        <v>2159.8998674166664</v>
      </c>
      <c r="O2" s="223">
        <f>AVERAGE(O4:O31)/100</f>
        <v>0.17916470588235295</v>
      </c>
      <c r="P2" s="223">
        <f>AVERAGE(P4:P31)/100</f>
        <v>0.18442352941176474</v>
      </c>
      <c r="Q2" s="223">
        <f t="shared" ref="Q2:AV2" si="0">AVERAGE(Q4:Q31)/100</f>
        <v>0.18045882352941173</v>
      </c>
      <c r="R2" s="223">
        <f t="shared" si="0"/>
        <v>0.18450588235294119</v>
      </c>
      <c r="S2" s="223">
        <f>AVERAGE(S4:S31)</f>
        <v>0.21588109154421864</v>
      </c>
      <c r="T2" s="223">
        <f t="shared" ref="T2:Y2" si="1">AVERAGE(T4:T31)</f>
        <v>0.18094112510262811</v>
      </c>
      <c r="U2" s="223">
        <f t="shared" si="1"/>
        <v>0.18465967705250558</v>
      </c>
      <c r="V2" s="223">
        <f t="shared" si="1"/>
        <v>0.17815280647911338</v>
      </c>
      <c r="W2" s="223">
        <f t="shared" si="1"/>
        <v>0.1769849139870385</v>
      </c>
      <c r="X2" s="223">
        <f t="shared" si="1"/>
        <v>0.16647647058823525</v>
      </c>
      <c r="Y2" s="223">
        <f t="shared" si="1"/>
        <v>0.16780624999999996</v>
      </c>
      <c r="Z2" s="223">
        <f t="shared" si="0"/>
        <v>0.16778749999999995</v>
      </c>
      <c r="AA2" s="223">
        <f t="shared" si="0"/>
        <v>0.16897499999999999</v>
      </c>
      <c r="AB2" s="223">
        <f t="shared" si="0"/>
        <v>0.17239374999999998</v>
      </c>
      <c r="AC2" s="223">
        <f t="shared" si="0"/>
        <v>0.17147500000000002</v>
      </c>
      <c r="AD2" s="223">
        <f t="shared" si="0"/>
        <v>0.1693375</v>
      </c>
      <c r="AE2" s="223">
        <f t="shared" si="0"/>
        <v>0.18401250000000005</v>
      </c>
      <c r="AF2" s="223">
        <f t="shared" si="0"/>
        <v>0.16765625000000001</v>
      </c>
      <c r="AG2" s="223">
        <f t="shared" si="0"/>
        <v>0.16864375000000004</v>
      </c>
      <c r="AH2" s="223">
        <f t="shared" si="0"/>
        <v>0.17155624999999999</v>
      </c>
      <c r="AI2" s="223">
        <f t="shared" si="0"/>
        <v>0.17345000000000002</v>
      </c>
      <c r="AJ2" s="223">
        <f t="shared" si="0"/>
        <v>0.16875625</v>
      </c>
      <c r="AK2" s="223">
        <f t="shared" si="0"/>
        <v>0.17447499999999999</v>
      </c>
      <c r="AL2" s="223">
        <f t="shared" si="0"/>
        <v>0.17452500000000001</v>
      </c>
      <c r="AM2" s="223">
        <f t="shared" si="0"/>
        <v>0.17648750000000002</v>
      </c>
      <c r="AN2" s="223">
        <f t="shared" si="0"/>
        <v>0.18019375000000001</v>
      </c>
      <c r="AO2" s="223">
        <f t="shared" si="0"/>
        <v>0.18095624999999999</v>
      </c>
      <c r="AP2" s="223">
        <f t="shared" si="0"/>
        <v>0.19143125000000003</v>
      </c>
      <c r="AQ2" s="223">
        <f t="shared" si="0"/>
        <v>0.20086875000000004</v>
      </c>
      <c r="AR2" s="223">
        <f t="shared" si="0"/>
        <v>0.20578749999999998</v>
      </c>
      <c r="AS2" s="223">
        <f t="shared" si="0"/>
        <v>0.18915625000000003</v>
      </c>
      <c r="AT2" s="223">
        <f t="shared" si="0"/>
        <v>0.18334374999999997</v>
      </c>
      <c r="AU2" s="223">
        <f t="shared" si="0"/>
        <v>0.18188124999999997</v>
      </c>
      <c r="AV2" s="223">
        <f t="shared" si="0"/>
        <v>0.18003749999999999</v>
      </c>
      <c r="AW2" s="221"/>
      <c r="AX2" s="221"/>
    </row>
    <row r="3" spans="1:50" ht="63" customHeight="1" x14ac:dyDescent="0.25">
      <c r="A3" s="123" t="s">
        <v>164</v>
      </c>
      <c r="B3" s="124" t="s">
        <v>165</v>
      </c>
      <c r="C3" s="123" t="s">
        <v>166</v>
      </c>
      <c r="D3" s="125" t="s">
        <v>167</v>
      </c>
      <c r="E3" s="123" t="s">
        <v>168</v>
      </c>
      <c r="F3" s="123" t="s">
        <v>169</v>
      </c>
      <c r="G3" s="126" t="s">
        <v>170</v>
      </c>
      <c r="H3" s="38" t="s">
        <v>171</v>
      </c>
      <c r="I3" s="123" t="s">
        <v>172</v>
      </c>
      <c r="J3" s="128" t="s">
        <v>173</v>
      </c>
      <c r="K3" s="129" t="s">
        <v>174</v>
      </c>
      <c r="L3" s="38" t="s">
        <v>175</v>
      </c>
      <c r="M3" s="126" t="s">
        <v>176</v>
      </c>
      <c r="N3" s="129" t="s">
        <v>177</v>
      </c>
      <c r="O3" s="123" t="s">
        <v>178</v>
      </c>
      <c r="P3" t="s">
        <v>179</v>
      </c>
      <c r="Q3" t="s">
        <v>180</v>
      </c>
      <c r="R3" t="s">
        <v>181</v>
      </c>
      <c r="S3" s="193" t="s">
        <v>182</v>
      </c>
      <c r="T3" s="193" t="s">
        <v>183</v>
      </c>
      <c r="U3" s="193" t="s">
        <v>184</v>
      </c>
      <c r="V3" s="193" t="s">
        <v>185</v>
      </c>
      <c r="W3" s="193" t="s">
        <v>186</v>
      </c>
      <c r="X3" t="s">
        <v>187</v>
      </c>
      <c r="Y3" t="s">
        <v>188</v>
      </c>
      <c r="Z3" t="s">
        <v>189</v>
      </c>
      <c r="AA3" t="s">
        <v>190</v>
      </c>
      <c r="AB3" t="s">
        <v>191</v>
      </c>
      <c r="AC3" t="s">
        <v>192</v>
      </c>
      <c r="AD3" t="s">
        <v>193</v>
      </c>
      <c r="AE3" t="s">
        <v>194</v>
      </c>
      <c r="AF3" t="s">
        <v>195</v>
      </c>
      <c r="AG3" t="s">
        <v>196</v>
      </c>
      <c r="AH3" t="s">
        <v>197</v>
      </c>
      <c r="AI3" t="s">
        <v>198</v>
      </c>
      <c r="AJ3" t="s">
        <v>199</v>
      </c>
      <c r="AK3" t="s">
        <v>200</v>
      </c>
      <c r="AL3" t="s">
        <v>201</v>
      </c>
      <c r="AM3" t="s">
        <v>202</v>
      </c>
      <c r="AN3" t="s">
        <v>203</v>
      </c>
      <c r="AO3" t="s">
        <v>204</v>
      </c>
      <c r="AP3" t="s">
        <v>205</v>
      </c>
      <c r="AQ3" t="s">
        <v>206</v>
      </c>
      <c r="AR3" t="s">
        <v>207</v>
      </c>
      <c r="AS3" s="209">
        <v>45753</v>
      </c>
      <c r="AT3" s="209">
        <v>45746</v>
      </c>
      <c r="AU3" s="209">
        <v>45740</v>
      </c>
      <c r="AV3" s="209">
        <v>45732</v>
      </c>
      <c r="AW3" s="3" t="s">
        <v>11</v>
      </c>
    </row>
    <row r="4" spans="1:50" ht="15.75" customHeight="1" x14ac:dyDescent="0.25">
      <c r="A4" s="194" t="s">
        <v>219</v>
      </c>
      <c r="B4" s="195">
        <v>1050</v>
      </c>
      <c r="C4" s="4">
        <v>13.877599999999999</v>
      </c>
      <c r="D4" s="196">
        <v>10.09</v>
      </c>
      <c r="E4" s="4">
        <f t="shared" ref="E4:E20" si="2">D4-C4</f>
        <v>-3.7875999999999994</v>
      </c>
      <c r="F4" s="6">
        <f t="shared" ref="F4:F20" si="3">(D4/C4)/100</f>
        <v>7.2707096327895319E-3</v>
      </c>
      <c r="G4" s="7">
        <v>12537</v>
      </c>
      <c r="H4" s="210">
        <v>14571.48</v>
      </c>
      <c r="I4" s="7">
        <v>-2034.48</v>
      </c>
      <c r="J4" s="9">
        <v>45898.701793981483</v>
      </c>
      <c r="K4" t="s">
        <v>220</v>
      </c>
      <c r="L4" s="210">
        <f t="shared" ref="L4:L20" si="4">(D4*(P4)/12)/100</f>
        <v>9.9975083333333339E-2</v>
      </c>
      <c r="M4" s="210">
        <f>((B4*C4)*O4/100)/12</f>
        <v>172.42917999999997</v>
      </c>
      <c r="N4" s="216">
        <f t="shared" ref="N4:N20" si="5">(($B4*$D4)*(P4)/12)/100</f>
        <v>104.9738375</v>
      </c>
      <c r="O4" s="217">
        <v>14.2</v>
      </c>
      <c r="P4" s="267">
        <v>11.89</v>
      </c>
      <c r="Q4" s="260">
        <v>10.15</v>
      </c>
      <c r="R4" s="252">
        <v>10.31</v>
      </c>
      <c r="S4" s="212">
        <v>0.10535600000000001</v>
      </c>
      <c r="T4" s="212">
        <v>9.6541000000000002E-2</v>
      </c>
      <c r="U4" s="213">
        <v>0.10041799999999999</v>
      </c>
      <c r="V4" s="213">
        <v>0.103004</v>
      </c>
      <c r="W4" s="213">
        <v>0.102564</v>
      </c>
      <c r="X4" s="212">
        <v>0.1011</v>
      </c>
      <c r="Y4" s="212">
        <v>0.10150000000000001</v>
      </c>
      <c r="Z4" s="214">
        <v>10.14</v>
      </c>
      <c r="AA4" s="214">
        <v>10.33</v>
      </c>
      <c r="AB4" s="214">
        <v>10.199999999999999</v>
      </c>
      <c r="AC4" s="214">
        <v>10.75</v>
      </c>
      <c r="AD4" s="214">
        <v>9.93</v>
      </c>
      <c r="AE4" s="214">
        <v>10.57</v>
      </c>
      <c r="AF4" s="214">
        <v>10.67</v>
      </c>
      <c r="AG4" s="214">
        <v>10.85</v>
      </c>
      <c r="AH4" s="214">
        <v>11.17</v>
      </c>
      <c r="AI4" s="214">
        <v>11.73</v>
      </c>
      <c r="AJ4" s="214">
        <v>11.4</v>
      </c>
      <c r="AK4" s="214">
        <v>12.11</v>
      </c>
      <c r="AL4" s="214">
        <v>12.7</v>
      </c>
      <c r="AM4" s="214">
        <v>13.45</v>
      </c>
      <c r="AN4" s="214">
        <v>11.55</v>
      </c>
      <c r="AO4" s="214">
        <v>10.83</v>
      </c>
      <c r="AP4" s="215">
        <v>15.4</v>
      </c>
      <c r="AQ4" s="215">
        <v>16.03</v>
      </c>
      <c r="AR4" s="215">
        <v>16.48</v>
      </c>
      <c r="AS4" s="215">
        <v>14.68</v>
      </c>
      <c r="AT4" s="215">
        <v>14.63</v>
      </c>
      <c r="AU4" s="214">
        <v>14.02</v>
      </c>
      <c r="AV4" s="214">
        <v>13.86</v>
      </c>
      <c r="AW4" s="11" t="s">
        <v>218</v>
      </c>
    </row>
    <row r="5" spans="1:50" ht="15.75" customHeight="1" x14ac:dyDescent="0.25">
      <c r="A5" s="194" t="s">
        <v>221</v>
      </c>
      <c r="B5" s="195">
        <v>1625</v>
      </c>
      <c r="C5" s="4">
        <v>6.6412000000000004</v>
      </c>
      <c r="D5" s="196">
        <v>5.57</v>
      </c>
      <c r="E5" s="4">
        <f t="shared" si="2"/>
        <v>-1.0712000000000002</v>
      </c>
      <c r="F5" s="6">
        <f t="shared" si="3"/>
        <v>8.3870384870204165E-3</v>
      </c>
      <c r="G5" s="7">
        <v>9652.5</v>
      </c>
      <c r="H5" s="210">
        <v>10791.95</v>
      </c>
      <c r="I5" s="7">
        <v>-1139.450000000001</v>
      </c>
      <c r="J5" s="9">
        <v>45869.701793981483</v>
      </c>
      <c r="K5" t="s">
        <v>209</v>
      </c>
      <c r="L5" s="210">
        <f t="shared" si="4"/>
        <v>7.7515833333333339E-2</v>
      </c>
      <c r="M5" s="210">
        <f t="shared" ref="M5:M20" si="6">((B5*C5)*O5/100)/12</f>
        <v>139.66581958333333</v>
      </c>
      <c r="N5" s="216">
        <f t="shared" si="5"/>
        <v>125.96322916666666</v>
      </c>
      <c r="O5" s="217">
        <v>15.53</v>
      </c>
      <c r="P5" s="268">
        <v>16.7</v>
      </c>
      <c r="Q5" s="261">
        <v>16.52</v>
      </c>
      <c r="R5" s="253">
        <v>16.7</v>
      </c>
      <c r="S5" s="218">
        <v>0.16489400000000001</v>
      </c>
      <c r="T5" s="218">
        <v>0.16117899999999999</v>
      </c>
      <c r="U5" s="219">
        <v>0.16006899999999999</v>
      </c>
      <c r="V5" s="219">
        <v>0.15709500000000001</v>
      </c>
      <c r="W5" s="219">
        <v>0.15789500000000001</v>
      </c>
      <c r="X5" s="218">
        <v>0.15790000000000001</v>
      </c>
      <c r="Y5" s="218">
        <v>0.15659999999999999</v>
      </c>
      <c r="Z5" s="215">
        <v>15.79</v>
      </c>
      <c r="AA5" s="215">
        <v>15.55</v>
      </c>
      <c r="AB5" s="215">
        <v>15.63</v>
      </c>
      <c r="AC5" s="215">
        <v>15.63</v>
      </c>
      <c r="AD5" s="215">
        <v>15.63</v>
      </c>
      <c r="AE5" s="215">
        <v>15.6</v>
      </c>
      <c r="AF5" s="215">
        <v>15.58</v>
      </c>
      <c r="AG5" s="215">
        <v>15.66</v>
      </c>
      <c r="AH5" s="215">
        <v>15.87</v>
      </c>
      <c r="AI5" s="215">
        <v>15.82</v>
      </c>
      <c r="AJ5" s="215">
        <v>15.76</v>
      </c>
      <c r="AK5" s="215">
        <v>15.92</v>
      </c>
      <c r="AL5" s="215">
        <v>15.9</v>
      </c>
      <c r="AM5" s="215">
        <v>16.23</v>
      </c>
      <c r="AN5" s="215">
        <v>16.29</v>
      </c>
      <c r="AO5" s="215">
        <v>16.399999999999999</v>
      </c>
      <c r="AP5" s="215">
        <v>16.79</v>
      </c>
      <c r="AQ5" s="215">
        <v>16.88</v>
      </c>
      <c r="AR5" s="215">
        <v>17.350000000000001</v>
      </c>
      <c r="AS5" s="215">
        <v>16.059999999999999</v>
      </c>
      <c r="AT5" s="215">
        <v>15.74</v>
      </c>
      <c r="AU5" s="214">
        <v>15.5</v>
      </c>
      <c r="AV5" s="215">
        <v>15.68</v>
      </c>
      <c r="AW5" s="11" t="s">
        <v>218</v>
      </c>
    </row>
    <row r="6" spans="1:50" ht="15.75" customHeight="1" x14ac:dyDescent="0.25">
      <c r="A6" s="194" t="s">
        <v>208</v>
      </c>
      <c r="B6" s="195">
        <v>736</v>
      </c>
      <c r="C6" s="4">
        <v>10.37</v>
      </c>
      <c r="D6" s="196">
        <v>10</v>
      </c>
      <c r="E6" s="4">
        <f t="shared" si="2"/>
        <v>-0.36999999999999922</v>
      </c>
      <c r="F6" s="6">
        <f t="shared" si="3"/>
        <v>9.643201542912247E-3</v>
      </c>
      <c r="G6" s="7">
        <v>7183.36</v>
      </c>
      <c r="H6" s="210">
        <v>7632.32</v>
      </c>
      <c r="I6" s="7">
        <v>-448.96</v>
      </c>
      <c r="J6" s="9">
        <v>45880.701793981483</v>
      </c>
      <c r="K6" t="s">
        <v>209</v>
      </c>
      <c r="L6" s="210">
        <f t="shared" si="4"/>
        <v>0.12</v>
      </c>
      <c r="M6" s="210">
        <f t="shared" si="6"/>
        <v>87.835282666666672</v>
      </c>
      <c r="N6" s="216">
        <f t="shared" si="5"/>
        <v>88.32</v>
      </c>
      <c r="O6" s="217">
        <v>13.81</v>
      </c>
      <c r="P6" s="268">
        <v>14.4</v>
      </c>
      <c r="Q6" s="261">
        <v>14.12</v>
      </c>
      <c r="R6" s="253">
        <v>14.41</v>
      </c>
      <c r="S6" s="218">
        <v>0.14501500000000001</v>
      </c>
      <c r="T6" s="218">
        <v>0.14385600000000001</v>
      </c>
      <c r="U6" s="219">
        <v>0.14754100000000001</v>
      </c>
      <c r="V6" s="219">
        <v>0.14257400000000001</v>
      </c>
      <c r="W6" s="219">
        <v>0.141454</v>
      </c>
      <c r="X6" s="218">
        <v>0.14119999999999999</v>
      </c>
      <c r="Y6" s="218">
        <v>0.1489</v>
      </c>
      <c r="Z6" s="215">
        <v>14.57</v>
      </c>
      <c r="AA6" s="215">
        <v>14.98</v>
      </c>
      <c r="AB6" s="215">
        <v>15.3</v>
      </c>
      <c r="AC6" s="215">
        <v>15.27</v>
      </c>
      <c r="AD6" s="215">
        <v>14.83</v>
      </c>
      <c r="AE6" s="215">
        <v>15.52</v>
      </c>
      <c r="AF6" s="215">
        <v>15.24</v>
      </c>
      <c r="AG6" s="215">
        <v>15.29</v>
      </c>
      <c r="AH6" s="215">
        <v>15.45</v>
      </c>
      <c r="AI6" s="215">
        <v>15.55</v>
      </c>
      <c r="AJ6" s="215">
        <v>15.32</v>
      </c>
      <c r="AK6" s="215">
        <v>15.93</v>
      </c>
      <c r="AL6" s="215">
        <v>16.309999999999999</v>
      </c>
      <c r="AM6" s="215">
        <v>16.350000000000001</v>
      </c>
      <c r="AN6" s="215">
        <v>16.22</v>
      </c>
      <c r="AO6" s="215">
        <v>16.350000000000001</v>
      </c>
      <c r="AP6" s="215">
        <v>16.510000000000002</v>
      </c>
      <c r="AQ6" s="215">
        <v>17.350000000000001</v>
      </c>
      <c r="AR6" s="215">
        <v>17.73</v>
      </c>
      <c r="AS6" s="215">
        <v>15.42</v>
      </c>
      <c r="AT6" s="215">
        <v>15.13</v>
      </c>
      <c r="AU6" s="215">
        <v>14.17</v>
      </c>
      <c r="AV6" s="215">
        <v>14.06</v>
      </c>
      <c r="AW6" s="11" t="s">
        <v>218</v>
      </c>
    </row>
    <row r="7" spans="1:50" ht="15.75" customHeight="1" x14ac:dyDescent="0.25">
      <c r="A7" s="194" t="s">
        <v>222</v>
      </c>
      <c r="B7" s="195">
        <v>440</v>
      </c>
      <c r="C7" s="4">
        <v>28.001799999999999</v>
      </c>
      <c r="D7" s="196">
        <v>18.079999999999998</v>
      </c>
      <c r="E7" s="4">
        <f t="shared" si="2"/>
        <v>-9.9218000000000011</v>
      </c>
      <c r="F7" s="6">
        <f t="shared" si="3"/>
        <v>6.4567277817854565E-3</v>
      </c>
      <c r="G7" s="7">
        <v>8597.6</v>
      </c>
      <c r="H7" s="210">
        <v>12320.791999999999</v>
      </c>
      <c r="I7" s="7">
        <v>-3723.1919999999991</v>
      </c>
      <c r="J7" s="9">
        <v>45876.701793981483</v>
      </c>
      <c r="K7" t="s">
        <v>209</v>
      </c>
      <c r="L7" s="210">
        <f t="shared" si="4"/>
        <v>0.83815866666666661</v>
      </c>
      <c r="M7" s="210">
        <f t="shared" si="6"/>
        <v>585.95633286666668</v>
      </c>
      <c r="N7" s="216">
        <f t="shared" si="5"/>
        <v>368.78981333333331</v>
      </c>
      <c r="O7" s="217">
        <v>57.07</v>
      </c>
      <c r="P7" s="267">
        <v>55.63</v>
      </c>
      <c r="Q7" s="260">
        <v>49.82</v>
      </c>
      <c r="R7" s="252">
        <v>51.72</v>
      </c>
      <c r="S7" s="212">
        <v>0.53357599999999994</v>
      </c>
      <c r="T7" s="212">
        <v>0.51304300000000003</v>
      </c>
      <c r="U7" s="213">
        <v>0.56388300000000002</v>
      </c>
      <c r="V7" s="213">
        <v>0.52376500000000004</v>
      </c>
      <c r="W7" s="213">
        <v>0.52636499999999997</v>
      </c>
      <c r="X7" s="212">
        <v>0.55969999999999998</v>
      </c>
      <c r="Y7" s="212">
        <v>0.54069999999999996</v>
      </c>
      <c r="Z7" s="214">
        <v>51.89</v>
      </c>
      <c r="AA7" s="214">
        <v>51.21</v>
      </c>
      <c r="AB7" s="214">
        <v>51.36</v>
      </c>
      <c r="AC7" s="214">
        <v>51.67</v>
      </c>
      <c r="AD7" s="214">
        <v>49.83</v>
      </c>
      <c r="AE7" s="214">
        <v>48.92</v>
      </c>
      <c r="AF7" s="214">
        <v>51.27</v>
      </c>
      <c r="AG7" s="214">
        <v>52.94</v>
      </c>
      <c r="AH7" s="214">
        <v>55.31</v>
      </c>
      <c r="AI7" s="215">
        <v>57.33</v>
      </c>
      <c r="AJ7" s="214">
        <v>55.67</v>
      </c>
      <c r="AK7" s="215">
        <v>58.32</v>
      </c>
      <c r="AL7" s="214">
        <v>56.87</v>
      </c>
      <c r="AM7" s="214">
        <v>54.14</v>
      </c>
      <c r="AN7" s="215">
        <v>59.28</v>
      </c>
      <c r="AO7" s="215">
        <v>62.12</v>
      </c>
      <c r="AP7" s="215">
        <v>67.78</v>
      </c>
      <c r="AQ7" s="215">
        <v>75.319999999999993</v>
      </c>
      <c r="AR7" s="215">
        <v>79.84</v>
      </c>
      <c r="AS7" s="215">
        <v>77.52</v>
      </c>
      <c r="AT7" s="215">
        <v>74.83</v>
      </c>
      <c r="AU7" s="215">
        <v>74.83</v>
      </c>
      <c r="AV7" s="215">
        <v>74.83</v>
      </c>
      <c r="AW7" s="11" t="s">
        <v>218</v>
      </c>
    </row>
    <row r="8" spans="1:50" ht="15.75" customHeight="1" x14ac:dyDescent="0.25">
      <c r="A8" s="194" t="s">
        <v>223</v>
      </c>
      <c r="B8" s="195">
        <v>568</v>
      </c>
      <c r="C8" s="4">
        <v>5.7</v>
      </c>
      <c r="D8" s="196">
        <v>5.16</v>
      </c>
      <c r="E8" s="4">
        <f t="shared" si="2"/>
        <v>-0.54</v>
      </c>
      <c r="F8" s="6">
        <f t="shared" si="3"/>
        <v>9.0526315789473694E-3</v>
      </c>
      <c r="G8" s="7">
        <v>3294.4</v>
      </c>
      <c r="H8" s="210">
        <v>3237.6</v>
      </c>
      <c r="I8" s="7">
        <v>56.800000000000182</v>
      </c>
      <c r="J8" s="9">
        <v>45852.701793981483</v>
      </c>
      <c r="K8" t="s">
        <v>220</v>
      </c>
      <c r="L8" s="210">
        <f t="shared" si="4"/>
        <v>5.3319999999999999E-2</v>
      </c>
      <c r="M8" s="210">
        <f t="shared" si="6"/>
        <v>27.816379999999999</v>
      </c>
      <c r="N8" s="216">
        <f t="shared" si="5"/>
        <v>30.285760000000003</v>
      </c>
      <c r="O8" s="217">
        <v>10.31</v>
      </c>
      <c r="P8" s="268">
        <v>12.4</v>
      </c>
      <c r="Q8" s="261">
        <v>12.08</v>
      </c>
      <c r="R8" s="253">
        <v>12.17</v>
      </c>
      <c r="S8" s="218">
        <v>0.12623300000000001</v>
      </c>
      <c r="T8" s="218">
        <v>0.118959</v>
      </c>
      <c r="U8" s="219">
        <v>0.114082</v>
      </c>
      <c r="V8" s="219">
        <v>0.110919</v>
      </c>
      <c r="W8" s="219">
        <v>0.108844</v>
      </c>
      <c r="X8" s="218">
        <v>0.1085</v>
      </c>
      <c r="Y8" s="218">
        <v>0.11210000000000001</v>
      </c>
      <c r="Z8" s="215">
        <v>11.09</v>
      </c>
      <c r="AA8" s="215">
        <v>11.49</v>
      </c>
      <c r="AB8" s="215">
        <v>11.98</v>
      </c>
      <c r="AC8" s="215">
        <v>12.36</v>
      </c>
      <c r="AD8" s="215">
        <v>13.03</v>
      </c>
      <c r="AE8" s="215">
        <v>12.88</v>
      </c>
      <c r="AF8" s="215">
        <v>12.55</v>
      </c>
      <c r="AG8" s="215">
        <v>12.24</v>
      </c>
      <c r="AH8" s="215">
        <v>12.17</v>
      </c>
      <c r="AI8" s="215">
        <v>12.5</v>
      </c>
      <c r="AJ8" s="215">
        <v>11.96</v>
      </c>
      <c r="AK8" s="215">
        <v>12.6</v>
      </c>
      <c r="AL8" s="215">
        <v>12.7</v>
      </c>
      <c r="AM8" s="215">
        <v>12.6</v>
      </c>
      <c r="AN8" s="215">
        <v>12.28</v>
      </c>
      <c r="AO8" s="215">
        <v>12.77</v>
      </c>
      <c r="AP8" s="215">
        <v>13.53</v>
      </c>
      <c r="AQ8" s="215">
        <v>14.48</v>
      </c>
      <c r="AR8" s="215">
        <v>14.41</v>
      </c>
      <c r="AS8" s="215">
        <v>11.83</v>
      </c>
      <c r="AT8" s="215">
        <v>11.27</v>
      </c>
      <c r="AU8" s="215">
        <v>10.77</v>
      </c>
      <c r="AV8" s="215">
        <v>10.65</v>
      </c>
      <c r="AW8" s="11" t="s">
        <v>218</v>
      </c>
    </row>
    <row r="9" spans="1:50" ht="15.75" customHeight="1" x14ac:dyDescent="0.25">
      <c r="A9" s="194" t="s">
        <v>224</v>
      </c>
      <c r="B9" s="195">
        <v>2425</v>
      </c>
      <c r="C9" s="4">
        <v>3.3992800000000001</v>
      </c>
      <c r="D9" s="196">
        <v>2.37</v>
      </c>
      <c r="E9" s="4">
        <f t="shared" si="2"/>
        <v>-1.02928</v>
      </c>
      <c r="F9" s="6">
        <f t="shared" si="3"/>
        <v>6.9720646725188861E-3</v>
      </c>
      <c r="G9" s="7">
        <v>6959.75</v>
      </c>
      <c r="H9" s="210">
        <v>8243.2540000000008</v>
      </c>
      <c r="I9" s="7">
        <v>-1283.504000000001</v>
      </c>
      <c r="J9" s="9">
        <v>45869.701793981483</v>
      </c>
      <c r="K9" t="s">
        <v>220</v>
      </c>
      <c r="L9" s="210">
        <f t="shared" si="4"/>
        <v>3.3338E-2</v>
      </c>
      <c r="M9" s="210">
        <f t="shared" si="6"/>
        <v>116.7794316666667</v>
      </c>
      <c r="N9" s="216">
        <f t="shared" si="5"/>
        <v>80.844649999999987</v>
      </c>
      <c r="O9" s="217">
        <v>17</v>
      </c>
      <c r="P9" s="267">
        <v>16.88</v>
      </c>
      <c r="Q9" s="260">
        <v>16.46</v>
      </c>
      <c r="R9" s="252">
        <v>16.600000000000001</v>
      </c>
      <c r="S9" s="218">
        <v>0.238095</v>
      </c>
      <c r="T9" s="218">
        <v>0.22449</v>
      </c>
      <c r="U9" s="219">
        <v>0.220884</v>
      </c>
      <c r="V9" s="219">
        <v>0.210728</v>
      </c>
      <c r="W9" s="219">
        <v>0.20202000000000001</v>
      </c>
      <c r="X9" s="218">
        <v>0.2069</v>
      </c>
      <c r="Y9" s="218">
        <v>0.20910000000000001</v>
      </c>
      <c r="Z9" s="215">
        <v>20.55</v>
      </c>
      <c r="AA9" s="215">
        <v>20.41</v>
      </c>
      <c r="AB9" s="215">
        <v>21.51</v>
      </c>
      <c r="AC9" s="215">
        <v>21.58</v>
      </c>
      <c r="AD9" s="215">
        <v>22.22</v>
      </c>
      <c r="AE9" s="215">
        <v>22.56</v>
      </c>
      <c r="AF9" s="215">
        <v>21.43</v>
      </c>
      <c r="AG9" s="215">
        <v>21.66</v>
      </c>
      <c r="AH9" s="215">
        <v>20.13</v>
      </c>
      <c r="AI9" s="215">
        <v>20.55</v>
      </c>
      <c r="AJ9" s="215">
        <v>20.13</v>
      </c>
      <c r="AK9" s="215">
        <v>20.2</v>
      </c>
      <c r="AL9" s="215">
        <v>20.34</v>
      </c>
      <c r="AM9" s="215">
        <v>20.13</v>
      </c>
      <c r="AN9" s="215">
        <v>19.8</v>
      </c>
      <c r="AO9" s="215">
        <v>20.34</v>
      </c>
      <c r="AP9" s="215">
        <v>22.39</v>
      </c>
      <c r="AQ9" s="215">
        <v>22.39</v>
      </c>
      <c r="AR9" s="215">
        <v>24.49</v>
      </c>
      <c r="AS9" s="215">
        <v>19.29</v>
      </c>
      <c r="AT9" s="215">
        <v>17.440000000000001</v>
      </c>
      <c r="AU9" s="214">
        <v>16.670000000000002</v>
      </c>
      <c r="AV9" s="214">
        <v>16.670000000000002</v>
      </c>
      <c r="AW9" s="11" t="s">
        <v>218</v>
      </c>
    </row>
    <row r="10" spans="1:50" ht="15.75" customHeight="1" x14ac:dyDescent="0.25">
      <c r="A10" s="194" t="s">
        <v>225</v>
      </c>
      <c r="B10" s="195">
        <v>260</v>
      </c>
      <c r="C10" s="4">
        <v>12.5</v>
      </c>
      <c r="D10" s="196">
        <v>11.77</v>
      </c>
      <c r="E10" s="4">
        <f t="shared" si="2"/>
        <v>-0.73000000000000043</v>
      </c>
      <c r="F10" s="6">
        <f t="shared" si="3"/>
        <v>9.4160000000000008E-3</v>
      </c>
      <c r="G10" s="7">
        <v>3242.2</v>
      </c>
      <c r="H10" s="210">
        <v>3250</v>
      </c>
      <c r="I10" s="7">
        <v>-7.7999999999997272</v>
      </c>
      <c r="J10" s="9">
        <v>45898.701793981483</v>
      </c>
      <c r="K10" t="s">
        <v>209</v>
      </c>
      <c r="L10" s="210">
        <f t="shared" si="4"/>
        <v>0.10995141666666668</v>
      </c>
      <c r="M10" s="210">
        <f t="shared" si="6"/>
        <v>34.53125</v>
      </c>
      <c r="N10" s="216">
        <f t="shared" si="5"/>
        <v>28.587368333333337</v>
      </c>
      <c r="O10" s="217">
        <v>12.75</v>
      </c>
      <c r="P10" s="267">
        <v>11.21</v>
      </c>
      <c r="Q10" s="260">
        <v>11.2</v>
      </c>
      <c r="R10" s="252">
        <v>11.3</v>
      </c>
      <c r="S10" s="212">
        <v>0.10927199999999999</v>
      </c>
      <c r="T10" s="212">
        <v>0.107143</v>
      </c>
      <c r="U10" s="213">
        <v>0.107056</v>
      </c>
      <c r="V10" s="213">
        <v>0.10696899999999999</v>
      </c>
      <c r="W10" s="213">
        <v>0.10443</v>
      </c>
      <c r="X10" s="212">
        <v>0.1056</v>
      </c>
      <c r="Y10" s="212">
        <v>0.10580000000000001</v>
      </c>
      <c r="Z10" s="214">
        <v>10.76</v>
      </c>
      <c r="AA10" s="214">
        <v>10.77</v>
      </c>
      <c r="AB10" s="214">
        <v>10.83</v>
      </c>
      <c r="AC10" s="214">
        <v>10.86</v>
      </c>
      <c r="AD10" s="214">
        <v>10.97</v>
      </c>
      <c r="AE10" s="214">
        <v>10.97</v>
      </c>
      <c r="AF10" s="214">
        <v>10.86</v>
      </c>
      <c r="AG10" s="214">
        <v>10.78</v>
      </c>
      <c r="AH10" s="214">
        <v>10.78</v>
      </c>
      <c r="AI10" s="214">
        <v>10.95</v>
      </c>
      <c r="AJ10" s="214">
        <v>10.71</v>
      </c>
      <c r="AK10" s="214">
        <v>10.73</v>
      </c>
      <c r="AL10" s="214">
        <v>10.78</v>
      </c>
      <c r="AM10" s="214">
        <v>10.99</v>
      </c>
      <c r="AN10" s="214">
        <v>10.91</v>
      </c>
      <c r="AO10" s="214">
        <v>10.95</v>
      </c>
      <c r="AP10" s="214">
        <v>11.15</v>
      </c>
      <c r="AQ10" s="214">
        <v>11.38</v>
      </c>
      <c r="AR10" s="214">
        <v>11.71</v>
      </c>
      <c r="AS10" s="214">
        <v>10.69</v>
      </c>
      <c r="AT10" s="215">
        <v>12.75</v>
      </c>
      <c r="AU10" s="215">
        <v>12.75</v>
      </c>
      <c r="AV10" s="215">
        <v>12.75</v>
      </c>
      <c r="AW10" s="11" t="s">
        <v>218</v>
      </c>
    </row>
    <row r="11" spans="1:50" ht="15.75" customHeight="1" x14ac:dyDescent="0.25">
      <c r="A11" s="194" t="s">
        <v>210</v>
      </c>
      <c r="B11" s="195">
        <v>625</v>
      </c>
      <c r="C11" s="4">
        <v>11.9018</v>
      </c>
      <c r="D11" s="196">
        <v>13.24</v>
      </c>
      <c r="E11" s="4">
        <f t="shared" si="2"/>
        <v>1.3382000000000005</v>
      </c>
      <c r="F11" s="6">
        <f t="shared" si="3"/>
        <v>1.1124367742694383E-2</v>
      </c>
      <c r="G11" s="7">
        <v>7887.4999999999991</v>
      </c>
      <c r="H11" s="210">
        <v>7438.625</v>
      </c>
      <c r="I11" s="7">
        <v>448.87499999999909</v>
      </c>
      <c r="J11" s="9">
        <v>45870.701793981483</v>
      </c>
      <c r="K11" t="s">
        <v>209</v>
      </c>
      <c r="L11" s="210">
        <f t="shared" si="4"/>
        <v>0.17002366666666668</v>
      </c>
      <c r="M11" s="210">
        <f t="shared" si="6"/>
        <v>90.627247916666661</v>
      </c>
      <c r="N11" s="216">
        <f t="shared" si="5"/>
        <v>106.26479166666667</v>
      </c>
      <c r="O11" s="217">
        <v>14.62</v>
      </c>
      <c r="P11" s="268">
        <v>15.41</v>
      </c>
      <c r="Q11" s="261">
        <v>15.22</v>
      </c>
      <c r="R11" s="253">
        <v>15.25</v>
      </c>
      <c r="S11" s="218">
        <v>0.157165</v>
      </c>
      <c r="T11" s="218">
        <v>0.161137</v>
      </c>
      <c r="U11" s="219">
        <v>0.169435</v>
      </c>
      <c r="V11" s="219">
        <v>0.16491500000000001</v>
      </c>
      <c r="W11" s="219">
        <v>0.16280900000000001</v>
      </c>
      <c r="X11" s="218">
        <v>0.15970000000000001</v>
      </c>
      <c r="Y11" s="218">
        <v>0.1633</v>
      </c>
      <c r="Z11" s="215">
        <v>16.37</v>
      </c>
      <c r="AA11" s="215">
        <v>16.23</v>
      </c>
      <c r="AB11" s="215">
        <v>16.55</v>
      </c>
      <c r="AC11" s="215">
        <v>16.399999999999999</v>
      </c>
      <c r="AD11" s="215">
        <v>16</v>
      </c>
      <c r="AE11" s="215">
        <v>16.22</v>
      </c>
      <c r="AF11" s="215">
        <v>15.89</v>
      </c>
      <c r="AG11" s="215">
        <v>16.25</v>
      </c>
      <c r="AH11" s="215">
        <v>16.72</v>
      </c>
      <c r="AI11" s="215">
        <v>16.71</v>
      </c>
      <c r="AJ11" s="215">
        <v>16.45</v>
      </c>
      <c r="AK11" s="215">
        <v>16.86</v>
      </c>
      <c r="AL11" s="215">
        <v>17.16</v>
      </c>
      <c r="AM11" s="215">
        <v>17.260000000000002</v>
      </c>
      <c r="AN11" s="215">
        <v>16.43</v>
      </c>
      <c r="AO11" s="215">
        <v>16.73</v>
      </c>
      <c r="AP11" s="215">
        <v>17.03</v>
      </c>
      <c r="AQ11" s="215">
        <v>17.600000000000001</v>
      </c>
      <c r="AR11" s="215">
        <v>18.329999999999998</v>
      </c>
      <c r="AS11" s="215">
        <v>16.059999999999999</v>
      </c>
      <c r="AT11" s="215">
        <v>15.63</v>
      </c>
      <c r="AU11" s="214">
        <v>14.53</v>
      </c>
      <c r="AV11" s="214">
        <v>14.35</v>
      </c>
      <c r="AW11" s="11" t="s">
        <v>218</v>
      </c>
    </row>
    <row r="12" spans="1:50" ht="15.75" customHeight="1" x14ac:dyDescent="0.25">
      <c r="A12" s="194" t="s">
        <v>211</v>
      </c>
      <c r="B12" s="195">
        <v>1142</v>
      </c>
      <c r="C12" s="4">
        <v>10.0969</v>
      </c>
      <c r="D12" s="196">
        <v>6.21</v>
      </c>
      <c r="E12" s="4">
        <f t="shared" si="2"/>
        <v>-3.8868999999999998</v>
      </c>
      <c r="F12" s="6">
        <f t="shared" si="3"/>
        <v>6.1504025988174593E-3</v>
      </c>
      <c r="G12" s="7">
        <v>8622.1</v>
      </c>
      <c r="H12" s="210">
        <v>11530.659799999999</v>
      </c>
      <c r="I12" s="7">
        <v>-2908.5597999999991</v>
      </c>
      <c r="J12" s="9">
        <v>45898.701793981483</v>
      </c>
      <c r="K12" t="s">
        <v>209</v>
      </c>
      <c r="L12" s="210">
        <f t="shared" si="4"/>
        <v>0.13998375000000002</v>
      </c>
      <c r="M12" s="210">
        <f t="shared" si="6"/>
        <v>185.931889275</v>
      </c>
      <c r="N12" s="216">
        <f t="shared" si="5"/>
        <v>159.86144249999998</v>
      </c>
      <c r="O12" s="217">
        <v>19.350000000000001</v>
      </c>
      <c r="P12" s="268">
        <v>27.05</v>
      </c>
      <c r="Q12" s="261">
        <v>26.92</v>
      </c>
      <c r="R12" s="253">
        <v>27.72</v>
      </c>
      <c r="S12" s="218">
        <v>0.253776</v>
      </c>
      <c r="T12" s="218">
        <v>0.24383199999999999</v>
      </c>
      <c r="U12" s="219">
        <v>0.25493199999999999</v>
      </c>
      <c r="V12" s="219">
        <v>0.24</v>
      </c>
      <c r="W12" s="219">
        <v>0.239316</v>
      </c>
      <c r="X12" s="218">
        <v>0.21820000000000001</v>
      </c>
      <c r="Y12" s="218">
        <v>0.22889999999999999</v>
      </c>
      <c r="Z12" s="215">
        <v>23.86</v>
      </c>
      <c r="AA12" s="215">
        <v>25.23</v>
      </c>
      <c r="AB12" s="215">
        <v>26.21</v>
      </c>
      <c r="AC12" s="215">
        <v>24.42</v>
      </c>
      <c r="AD12" s="215">
        <v>24.31</v>
      </c>
      <c r="AE12" s="215">
        <v>22.67</v>
      </c>
      <c r="AF12" s="215">
        <v>21.93</v>
      </c>
      <c r="AG12" s="215">
        <v>21.65</v>
      </c>
      <c r="AH12" s="215">
        <v>22.31</v>
      </c>
      <c r="AI12" s="215">
        <v>22.31</v>
      </c>
      <c r="AJ12" s="215">
        <v>22.16</v>
      </c>
      <c r="AK12" s="215">
        <v>21.65</v>
      </c>
      <c r="AL12" s="215">
        <v>21.37</v>
      </c>
      <c r="AM12" s="215">
        <v>22.58</v>
      </c>
      <c r="AN12" s="215">
        <v>21.03</v>
      </c>
      <c r="AO12" s="215">
        <v>21.62</v>
      </c>
      <c r="AP12" s="215">
        <v>21.76</v>
      </c>
      <c r="AQ12" s="215">
        <v>23.05</v>
      </c>
      <c r="AR12" s="215">
        <v>23.08</v>
      </c>
      <c r="AS12" s="215">
        <v>21.71</v>
      </c>
      <c r="AT12" s="215">
        <v>20.87</v>
      </c>
      <c r="AU12" s="215">
        <v>21.21</v>
      </c>
      <c r="AV12" s="215">
        <v>20.39</v>
      </c>
      <c r="AW12" s="11" t="s">
        <v>218</v>
      </c>
    </row>
    <row r="13" spans="1:50" ht="15.75" customHeight="1" x14ac:dyDescent="0.25">
      <c r="A13" s="194" t="s">
        <v>226</v>
      </c>
      <c r="B13" s="195">
        <v>466</v>
      </c>
      <c r="C13" s="4">
        <v>15.65</v>
      </c>
      <c r="D13" s="196">
        <v>12.97</v>
      </c>
      <c r="E13" s="4">
        <f t="shared" si="2"/>
        <v>-2.6799999999999997</v>
      </c>
      <c r="F13" s="6">
        <f t="shared" si="3"/>
        <v>8.2875399361022357E-3</v>
      </c>
      <c r="G13" s="7">
        <v>6468.08</v>
      </c>
      <c r="H13" s="210">
        <v>7292.9000000000005</v>
      </c>
      <c r="I13" s="7">
        <v>-824.82000000000062</v>
      </c>
      <c r="J13" s="9">
        <v>45898.701805555553</v>
      </c>
      <c r="K13" t="s">
        <v>209</v>
      </c>
      <c r="L13" s="210">
        <f t="shared" si="4"/>
        <v>0.13002425000000001</v>
      </c>
      <c r="M13" s="210">
        <f t="shared" si="6"/>
        <v>92.559055833333346</v>
      </c>
      <c r="N13" s="216">
        <f t="shared" si="5"/>
        <v>60.591300499999996</v>
      </c>
      <c r="O13" s="217">
        <v>15.23</v>
      </c>
      <c r="P13" s="267">
        <v>12.03</v>
      </c>
      <c r="Q13" s="260">
        <v>12.28</v>
      </c>
      <c r="R13" s="252">
        <v>12.78</v>
      </c>
      <c r="S13" s="212">
        <v>0.12479999999999999</v>
      </c>
      <c r="T13" s="212">
        <v>0.116679</v>
      </c>
      <c r="U13" s="213">
        <v>0.118812</v>
      </c>
      <c r="V13" s="213">
        <v>0.119357</v>
      </c>
      <c r="W13" s="213">
        <v>0.116592</v>
      </c>
      <c r="X13" s="212">
        <v>0.11210000000000001</v>
      </c>
      <c r="Y13" s="212">
        <v>0.11260000000000001</v>
      </c>
      <c r="Z13" s="214">
        <v>11.7</v>
      </c>
      <c r="AA13" s="214">
        <v>12.01</v>
      </c>
      <c r="AB13" s="214">
        <v>12.73</v>
      </c>
      <c r="AC13" s="214">
        <v>12.01</v>
      </c>
      <c r="AD13" s="214">
        <v>12.05</v>
      </c>
      <c r="AE13" s="214">
        <v>11.61</v>
      </c>
      <c r="AF13" s="214">
        <v>11.24</v>
      </c>
      <c r="AG13" s="214">
        <v>11.35</v>
      </c>
      <c r="AH13" s="214">
        <v>11.62</v>
      </c>
      <c r="AI13" s="214">
        <v>11.66</v>
      </c>
      <c r="AJ13" s="214">
        <v>11.86</v>
      </c>
      <c r="AK13" s="214">
        <v>12.17</v>
      </c>
      <c r="AL13" s="214">
        <v>11.8</v>
      </c>
      <c r="AM13" s="215">
        <v>16.72</v>
      </c>
      <c r="AN13" s="215">
        <v>16.670000000000002</v>
      </c>
      <c r="AO13" s="215">
        <v>17.13</v>
      </c>
      <c r="AP13" s="215">
        <v>17.13</v>
      </c>
      <c r="AQ13" s="215">
        <v>17.38</v>
      </c>
      <c r="AR13" s="215">
        <v>17.079999999999998</v>
      </c>
      <c r="AS13" s="215">
        <v>16.18</v>
      </c>
      <c r="AT13" s="215">
        <v>16.02</v>
      </c>
      <c r="AU13" s="215">
        <v>16.04</v>
      </c>
      <c r="AV13" s="215">
        <v>15.75</v>
      </c>
      <c r="AW13" s="11" t="s">
        <v>218</v>
      </c>
    </row>
    <row r="14" spans="1:50" ht="15.75" customHeight="1" x14ac:dyDescent="0.25">
      <c r="A14" s="194" t="s">
        <v>227</v>
      </c>
      <c r="B14" s="195">
        <v>90</v>
      </c>
      <c r="C14" s="4">
        <v>11.3</v>
      </c>
      <c r="D14" s="196">
        <v>10.35</v>
      </c>
      <c r="E14" s="4">
        <f t="shared" si="2"/>
        <v>-0.95000000000000107</v>
      </c>
      <c r="F14" s="6">
        <f t="shared" si="3"/>
        <v>9.1592920353982289E-3</v>
      </c>
      <c r="G14" s="7">
        <v>989.1</v>
      </c>
      <c r="H14" s="210">
        <v>1017</v>
      </c>
      <c r="I14" s="7">
        <v>-27.900000000000091</v>
      </c>
      <c r="J14" s="9">
        <v>45845.701805555553</v>
      </c>
      <c r="K14" t="s">
        <v>220</v>
      </c>
      <c r="L14" s="210">
        <f t="shared" si="4"/>
        <v>0.12100875</v>
      </c>
      <c r="M14" s="210">
        <f t="shared" si="6"/>
        <v>9.1784250000000007</v>
      </c>
      <c r="N14" s="216">
        <f t="shared" si="5"/>
        <v>10.890787499999998</v>
      </c>
      <c r="O14" s="217">
        <v>10.83</v>
      </c>
      <c r="P14" s="268">
        <v>14.03</v>
      </c>
      <c r="Q14" s="261">
        <v>13.75</v>
      </c>
      <c r="R14" s="253">
        <v>13.97</v>
      </c>
      <c r="S14" s="218">
        <v>0.132717</v>
      </c>
      <c r="T14" s="218">
        <v>0.12931699999999999</v>
      </c>
      <c r="U14" s="219">
        <v>0.122782</v>
      </c>
      <c r="V14" s="219">
        <v>0.11976299999999999</v>
      </c>
      <c r="W14" s="219">
        <v>0.118468</v>
      </c>
      <c r="X14" s="218">
        <v>0.1172</v>
      </c>
      <c r="Y14" s="218">
        <v>0.12089999999999999</v>
      </c>
      <c r="Z14" s="215">
        <v>12</v>
      </c>
      <c r="AA14" s="215">
        <v>12.22</v>
      </c>
      <c r="AB14" s="215">
        <v>12.42</v>
      </c>
      <c r="AC14" s="215">
        <v>12.61</v>
      </c>
      <c r="AD14" s="215">
        <v>12.19</v>
      </c>
      <c r="AE14" s="215">
        <v>12.52</v>
      </c>
      <c r="AF14" s="215">
        <v>12.31</v>
      </c>
      <c r="AG14" s="215">
        <v>12.43</v>
      </c>
      <c r="AH14" s="215">
        <v>12.4</v>
      </c>
      <c r="AI14" s="215">
        <v>12.61</v>
      </c>
      <c r="AJ14" s="215">
        <v>12.38</v>
      </c>
      <c r="AK14" s="215">
        <v>12.76</v>
      </c>
      <c r="AL14" s="215">
        <v>13.02</v>
      </c>
      <c r="AM14" s="215">
        <v>13.05</v>
      </c>
      <c r="AN14" s="215">
        <v>12.76</v>
      </c>
      <c r="AO14" s="215">
        <v>12.78</v>
      </c>
      <c r="AP14" s="215">
        <v>13.17</v>
      </c>
      <c r="AQ14" s="215">
        <v>13.88</v>
      </c>
      <c r="AR14" s="215">
        <v>14.2</v>
      </c>
      <c r="AS14" s="215">
        <v>12.43</v>
      </c>
      <c r="AT14" s="214">
        <v>10.41</v>
      </c>
      <c r="AU14" s="215">
        <v>10.83</v>
      </c>
      <c r="AV14" s="215">
        <v>10.83</v>
      </c>
      <c r="AW14" s="11" t="s">
        <v>218</v>
      </c>
    </row>
    <row r="15" spans="1:50" ht="15.75" customHeight="1" x14ac:dyDescent="0.25">
      <c r="A15" s="194" t="s">
        <v>228</v>
      </c>
      <c r="B15" s="195">
        <v>1385</v>
      </c>
      <c r="C15" s="4">
        <v>9.5274000000000001</v>
      </c>
      <c r="D15" s="196">
        <v>5.97</v>
      </c>
      <c r="E15" s="4">
        <f t="shared" si="2"/>
        <v>-3.5574000000000003</v>
      </c>
      <c r="F15" s="6">
        <f t="shared" si="3"/>
        <v>6.2661376660998799E-3</v>
      </c>
      <c r="G15" s="7">
        <v>11758.65</v>
      </c>
      <c r="H15" s="210">
        <v>13195.449000000001</v>
      </c>
      <c r="I15" s="7">
        <v>-1436.7990000000009</v>
      </c>
      <c r="J15" s="9">
        <v>45930.701805555553</v>
      </c>
      <c r="K15" t="s">
        <v>220</v>
      </c>
      <c r="L15" s="210">
        <f t="shared" si="4"/>
        <v>5.666525E-2</v>
      </c>
      <c r="M15" s="210">
        <f t="shared" si="6"/>
        <v>176.37916829999998</v>
      </c>
      <c r="N15" s="216">
        <f t="shared" si="5"/>
        <v>78.481371249999995</v>
      </c>
      <c r="O15" s="217">
        <v>16.04</v>
      </c>
      <c r="P15" s="267">
        <v>11.39</v>
      </c>
      <c r="Q15" s="261">
        <v>19.059999999999999</v>
      </c>
      <c r="R15" s="253">
        <v>19.57</v>
      </c>
      <c r="S15" s="218">
        <v>0.18915199999999999</v>
      </c>
      <c r="T15" s="218">
        <v>0.176394</v>
      </c>
      <c r="U15" s="219">
        <v>0.17228299999999999</v>
      </c>
      <c r="V15" s="219">
        <v>0.16326499999999999</v>
      </c>
      <c r="W15" s="213">
        <v>0.155695</v>
      </c>
      <c r="X15" s="212">
        <v>0.157</v>
      </c>
      <c r="Y15" s="218">
        <v>0.1628</v>
      </c>
      <c r="Z15" s="215">
        <v>16.350000000000001</v>
      </c>
      <c r="AA15" s="215">
        <v>16.43</v>
      </c>
      <c r="AB15" s="215">
        <v>16.45</v>
      </c>
      <c r="AC15" s="226">
        <v>16.04</v>
      </c>
      <c r="AD15" s="226">
        <v>16.04</v>
      </c>
      <c r="AE15" s="214">
        <v>15.96</v>
      </c>
      <c r="AF15" s="215">
        <v>16.079999999999998</v>
      </c>
      <c r="AG15" s="214">
        <v>15.93</v>
      </c>
      <c r="AH15" s="215">
        <v>16.079999999999998</v>
      </c>
      <c r="AI15" s="214">
        <v>15.53</v>
      </c>
      <c r="AJ15" s="214">
        <v>15.23</v>
      </c>
      <c r="AK15" s="215">
        <v>16.190000000000001</v>
      </c>
      <c r="AL15" s="215">
        <v>16.22</v>
      </c>
      <c r="AM15" s="215">
        <v>16.41</v>
      </c>
      <c r="AN15" s="214">
        <v>15.91</v>
      </c>
      <c r="AO15" s="214">
        <v>15.49</v>
      </c>
      <c r="AP15" s="214">
        <v>15.93</v>
      </c>
      <c r="AQ15" s="215">
        <v>16.690000000000001</v>
      </c>
      <c r="AR15" s="215">
        <v>16.350000000000001</v>
      </c>
      <c r="AS15" s="214">
        <v>14.99</v>
      </c>
      <c r="AT15" s="214">
        <v>15.13</v>
      </c>
      <c r="AU15" s="214">
        <v>14.82</v>
      </c>
      <c r="AV15" s="214">
        <v>14.62</v>
      </c>
      <c r="AW15" s="11" t="s">
        <v>218</v>
      </c>
    </row>
    <row r="16" spans="1:50" ht="15.75" customHeight="1" x14ac:dyDescent="0.25">
      <c r="A16" s="194" t="s">
        <v>229</v>
      </c>
      <c r="B16" s="195">
        <v>688</v>
      </c>
      <c r="C16" s="4">
        <v>19.151299999999999</v>
      </c>
      <c r="D16" s="196">
        <v>18.36</v>
      </c>
      <c r="E16" s="4">
        <f t="shared" si="2"/>
        <v>-0.79129999999999967</v>
      </c>
      <c r="F16" s="6">
        <f t="shared" si="3"/>
        <v>9.5868165607556673E-3</v>
      </c>
      <c r="G16" s="7">
        <v>13519.2</v>
      </c>
      <c r="H16" s="210">
        <v>13176.0944</v>
      </c>
      <c r="I16" s="7">
        <v>343.10559999999901</v>
      </c>
      <c r="J16" s="9">
        <v>45870.701805555553</v>
      </c>
      <c r="K16" t="s">
        <v>209</v>
      </c>
      <c r="L16" s="210">
        <f t="shared" si="4"/>
        <v>0.22047299999999997</v>
      </c>
      <c r="M16" s="210">
        <f t="shared" si="6"/>
        <v>182.81830979999998</v>
      </c>
      <c r="N16" s="216">
        <f t="shared" si="5"/>
        <v>151.68542400000001</v>
      </c>
      <c r="O16" s="217">
        <v>16.649999999999999</v>
      </c>
      <c r="P16" s="267">
        <v>14.41</v>
      </c>
      <c r="Q16" s="260">
        <v>14.2</v>
      </c>
      <c r="R16" s="252">
        <v>13.96</v>
      </c>
      <c r="S16" s="212">
        <v>0.13411000000000001</v>
      </c>
      <c r="T16" s="212">
        <v>0.13336700000000001</v>
      </c>
      <c r="U16" s="213">
        <v>0.13411000000000001</v>
      </c>
      <c r="V16" s="213">
        <v>0.133907</v>
      </c>
      <c r="W16" s="213">
        <v>0.1333</v>
      </c>
      <c r="X16" s="212">
        <v>0.13250000000000001</v>
      </c>
      <c r="Y16" s="212">
        <v>0.1358</v>
      </c>
      <c r="Z16" s="214">
        <v>13.7</v>
      </c>
      <c r="AA16" s="214">
        <v>13.82</v>
      </c>
      <c r="AB16" s="214">
        <v>13.71</v>
      </c>
      <c r="AC16" s="214">
        <v>13.78</v>
      </c>
      <c r="AD16" s="214">
        <v>13.85</v>
      </c>
      <c r="AE16" s="214">
        <v>13.99</v>
      </c>
      <c r="AF16" s="214">
        <v>13.93</v>
      </c>
      <c r="AG16" s="214">
        <v>13.89</v>
      </c>
      <c r="AH16" s="214">
        <v>14.05</v>
      </c>
      <c r="AI16" s="214">
        <v>14.2</v>
      </c>
      <c r="AJ16" s="214">
        <v>14.07</v>
      </c>
      <c r="AK16" s="214">
        <v>14.03</v>
      </c>
      <c r="AL16" s="214">
        <v>14.07</v>
      </c>
      <c r="AM16" s="214">
        <v>14.41</v>
      </c>
      <c r="AN16" s="214">
        <v>13.98</v>
      </c>
      <c r="AO16" s="214">
        <v>14.21</v>
      </c>
      <c r="AP16" s="214">
        <v>14.44</v>
      </c>
      <c r="AQ16" s="214">
        <v>14.93</v>
      </c>
      <c r="AR16" s="214">
        <v>14.89</v>
      </c>
      <c r="AS16" s="214">
        <v>13.42</v>
      </c>
      <c r="AT16" s="215">
        <v>16.649999999999999</v>
      </c>
      <c r="AU16" s="215">
        <v>16.649999999999999</v>
      </c>
      <c r="AV16" s="215">
        <v>16.649999999999999</v>
      </c>
      <c r="AW16" s="11" t="s">
        <v>218</v>
      </c>
    </row>
    <row r="17" spans="1:50" ht="15.75" customHeight="1" x14ac:dyDescent="0.25">
      <c r="A17" s="194" t="s">
        <v>212</v>
      </c>
      <c r="B17" s="195">
        <v>304</v>
      </c>
      <c r="C17" s="4">
        <v>38.83</v>
      </c>
      <c r="D17" s="196">
        <v>36.090000000000003</v>
      </c>
      <c r="E17" s="4">
        <f t="shared" si="2"/>
        <v>-2.7399999999999949</v>
      </c>
      <c r="F17" s="6">
        <f t="shared" si="3"/>
        <v>9.2943600309039424E-3</v>
      </c>
      <c r="G17" s="7">
        <v>9602.0399999999991</v>
      </c>
      <c r="H17" s="210">
        <v>10717.08</v>
      </c>
      <c r="I17" s="7">
        <v>-1115.0400000000011</v>
      </c>
      <c r="J17" s="9">
        <v>45870.701805555553</v>
      </c>
      <c r="K17" t="s">
        <v>213</v>
      </c>
      <c r="L17" s="210">
        <f t="shared" si="4"/>
        <v>1.0219484999999999</v>
      </c>
      <c r="M17" s="210">
        <f t="shared" si="6"/>
        <v>288.51725466666664</v>
      </c>
      <c r="N17" s="216">
        <f t="shared" si="5"/>
        <v>310.67234400000001</v>
      </c>
      <c r="O17" s="4">
        <v>29.33</v>
      </c>
      <c r="P17" s="268">
        <v>33.979999999999997</v>
      </c>
      <c r="Q17" s="260">
        <v>29.04</v>
      </c>
      <c r="R17" s="253">
        <v>30.37</v>
      </c>
      <c r="S17" s="218">
        <v>0.30888242142025613</v>
      </c>
      <c r="T17" s="218">
        <v>0.30365712674467782</v>
      </c>
      <c r="U17" s="219">
        <v>0.29924250989259471</v>
      </c>
      <c r="V17" s="219">
        <v>0.29057971014492751</v>
      </c>
      <c r="W17" s="219">
        <v>0.29325453777965388</v>
      </c>
      <c r="X17" s="218">
        <v>9.8799999999999999E-2</v>
      </c>
      <c r="Y17" s="218">
        <v>6.9800000000000001E-2</v>
      </c>
      <c r="Z17" s="215">
        <v>8.1999999999999993</v>
      </c>
      <c r="AA17" s="215">
        <v>7.85</v>
      </c>
      <c r="AB17" s="215">
        <v>8.14</v>
      </c>
      <c r="AC17" s="214">
        <v>8.08</v>
      </c>
      <c r="AD17" s="214">
        <v>8</v>
      </c>
      <c r="AE17" s="215">
        <v>32.4</v>
      </c>
      <c r="AF17" s="215">
        <v>8.08</v>
      </c>
      <c r="AG17" s="215">
        <v>7.82</v>
      </c>
      <c r="AH17" s="215">
        <v>8.43</v>
      </c>
      <c r="AI17" s="215">
        <v>7.18</v>
      </c>
      <c r="AJ17" s="214">
        <v>5.05</v>
      </c>
      <c r="AK17" s="215">
        <v>7.3</v>
      </c>
      <c r="AL17" s="215">
        <v>7.54</v>
      </c>
      <c r="AM17" s="214">
        <v>6.11</v>
      </c>
      <c r="AN17" s="215">
        <v>11.39</v>
      </c>
      <c r="AO17" s="215">
        <v>8.17</v>
      </c>
      <c r="AP17" s="215">
        <v>9.17</v>
      </c>
      <c r="AQ17" s="215">
        <v>8.3000000000000007</v>
      </c>
      <c r="AR17" s="215">
        <v>7.08</v>
      </c>
      <c r="AS17" s="215">
        <v>9.1300000000000008</v>
      </c>
      <c r="AT17" s="227">
        <v>7.92</v>
      </c>
      <c r="AU17" s="227">
        <v>9.2899999999999991</v>
      </c>
      <c r="AV17" s="227">
        <v>8.0399999999999991</v>
      </c>
      <c r="AW17" s="11" t="s">
        <v>218</v>
      </c>
    </row>
    <row r="18" spans="1:50" ht="15.95" customHeight="1" x14ac:dyDescent="0.25">
      <c r="A18" s="194" t="s">
        <v>214</v>
      </c>
      <c r="B18" s="195">
        <v>310</v>
      </c>
      <c r="C18" s="4">
        <v>52.6</v>
      </c>
      <c r="D18" s="196">
        <v>55.52</v>
      </c>
      <c r="E18" s="4">
        <f t="shared" si="2"/>
        <v>2.9200000000000017</v>
      </c>
      <c r="F18" s="6">
        <f t="shared" si="3"/>
        <v>1.0555133079847909E-2</v>
      </c>
      <c r="G18" s="7">
        <f>B18*D18</f>
        <v>17211.2</v>
      </c>
      <c r="H18" s="210">
        <f>B18*C18</f>
        <v>16306</v>
      </c>
      <c r="I18" s="7">
        <f>G18-H18</f>
        <v>905.20000000000073</v>
      </c>
      <c r="J18" s="9">
        <v>45922</v>
      </c>
      <c r="K18" t="s">
        <v>209</v>
      </c>
      <c r="L18" s="210">
        <f t="shared" si="4"/>
        <v>0.64449466666666666</v>
      </c>
      <c r="M18" s="210">
        <f t="shared" si="6"/>
        <v>186.16016666666667</v>
      </c>
      <c r="N18" s="216">
        <f t="shared" si="5"/>
        <v>199.79334666666665</v>
      </c>
      <c r="O18" s="217">
        <v>13.7</v>
      </c>
      <c r="P18" s="268">
        <v>13.93</v>
      </c>
      <c r="Q18" s="261">
        <v>14.1</v>
      </c>
      <c r="R18" s="253">
        <v>14.12</v>
      </c>
      <c r="S18" s="218">
        <v>0.62429213483146073</v>
      </c>
      <c r="T18" s="212">
        <v>0.135105</v>
      </c>
      <c r="U18" s="219">
        <v>0.13714199999999999</v>
      </c>
      <c r="V18" s="213">
        <v>0.134687</v>
      </c>
      <c r="W18" s="213">
        <v>0.135986</v>
      </c>
      <c r="X18" s="222">
        <v>0.13700000000000001</v>
      </c>
      <c r="Z18" s="228"/>
      <c r="AA18" s="229"/>
      <c r="AB18" s="228"/>
      <c r="AC18" s="228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11" t="s">
        <v>230</v>
      </c>
    </row>
    <row r="19" spans="1:50" ht="15.75" customHeight="1" x14ac:dyDescent="0.25">
      <c r="A19" s="194" t="s">
        <v>231</v>
      </c>
      <c r="B19" s="195">
        <v>579</v>
      </c>
      <c r="C19" s="4">
        <v>16.540700000000001</v>
      </c>
      <c r="D19" s="196">
        <v>15.41</v>
      </c>
      <c r="E19" s="4">
        <f t="shared" si="2"/>
        <v>-1.1307000000000009</v>
      </c>
      <c r="F19" s="6">
        <f t="shared" si="3"/>
        <v>9.3164134528768427E-3</v>
      </c>
      <c r="G19" s="7">
        <v>8754.48</v>
      </c>
      <c r="H19" s="210">
        <v>9577.0653000000002</v>
      </c>
      <c r="I19" s="7">
        <v>-822.58530000000064</v>
      </c>
      <c r="J19" s="9">
        <v>45866.701805555553</v>
      </c>
      <c r="K19" t="s">
        <v>209</v>
      </c>
      <c r="L19" s="210">
        <f t="shared" si="4"/>
        <v>0.15255900000000003</v>
      </c>
      <c r="M19" s="210">
        <f t="shared" si="6"/>
        <v>94.7331375925</v>
      </c>
      <c r="N19" s="216">
        <f t="shared" si="5"/>
        <v>88.331660999999997</v>
      </c>
      <c r="O19" s="217">
        <v>11.87</v>
      </c>
      <c r="P19" s="268">
        <v>11.88</v>
      </c>
      <c r="Q19" s="260">
        <v>11.84</v>
      </c>
      <c r="R19" s="253">
        <v>11.92</v>
      </c>
      <c r="S19" s="218">
        <v>0.12543499999999999</v>
      </c>
      <c r="T19" s="218">
        <v>0.123696</v>
      </c>
      <c r="U19" s="219">
        <v>0.12577199999999999</v>
      </c>
      <c r="V19" s="219">
        <v>0.12321799999999999</v>
      </c>
      <c r="W19" s="219">
        <v>0.12346</v>
      </c>
      <c r="X19" s="218">
        <v>0.12429999999999999</v>
      </c>
      <c r="Y19" s="218">
        <v>0.12470000000000001</v>
      </c>
      <c r="Z19" s="215">
        <v>12.5</v>
      </c>
      <c r="AA19" s="215">
        <v>12.52</v>
      </c>
      <c r="AB19" s="215">
        <v>12.83</v>
      </c>
      <c r="AC19" s="215">
        <v>12.89</v>
      </c>
      <c r="AD19" s="215">
        <v>12.77</v>
      </c>
      <c r="AE19" s="215">
        <v>12.66</v>
      </c>
      <c r="AF19" s="215">
        <v>12.67</v>
      </c>
      <c r="AG19" s="215">
        <v>12.74</v>
      </c>
      <c r="AH19" s="215">
        <v>12.81</v>
      </c>
      <c r="AI19" s="215">
        <v>12.89</v>
      </c>
      <c r="AJ19" s="215">
        <v>12.92</v>
      </c>
      <c r="AK19" s="215">
        <v>13.1</v>
      </c>
      <c r="AL19" s="215">
        <v>13.2</v>
      </c>
      <c r="AM19" s="215">
        <v>13.39</v>
      </c>
      <c r="AN19" s="215">
        <v>13.25</v>
      </c>
      <c r="AO19" s="215">
        <v>13.33</v>
      </c>
      <c r="AP19" s="215">
        <v>13.36</v>
      </c>
      <c r="AQ19" s="215">
        <v>13.79</v>
      </c>
      <c r="AR19" s="215">
        <v>14.02</v>
      </c>
      <c r="AS19" s="215">
        <v>13.48</v>
      </c>
      <c r="AT19" s="215">
        <v>12.28</v>
      </c>
      <c r="AU19" s="215">
        <v>12.28</v>
      </c>
      <c r="AV19" s="215">
        <v>12.28</v>
      </c>
      <c r="AW19" s="11" t="s">
        <v>218</v>
      </c>
    </row>
    <row r="20" spans="1:50" ht="15.75" customHeight="1" x14ac:dyDescent="0.25">
      <c r="A20" s="194" t="s">
        <v>232</v>
      </c>
      <c r="B20" s="195">
        <v>552</v>
      </c>
      <c r="C20" s="4">
        <v>22.328800000000001</v>
      </c>
      <c r="D20" s="196">
        <v>17.73</v>
      </c>
      <c r="E20" s="4">
        <f t="shared" si="2"/>
        <v>-4.5988000000000007</v>
      </c>
      <c r="F20" s="6">
        <f t="shared" si="3"/>
        <v>7.9404177564401136E-3</v>
      </c>
      <c r="G20" s="7">
        <v>9571.68</v>
      </c>
      <c r="H20" s="210">
        <v>12325.497600000001</v>
      </c>
      <c r="I20" s="7">
        <v>-2753.8175999999999</v>
      </c>
      <c r="J20" s="9">
        <v>45869.701805555553</v>
      </c>
      <c r="K20" t="s">
        <v>209</v>
      </c>
      <c r="L20" s="210">
        <f t="shared" si="4"/>
        <v>0.29993250000000005</v>
      </c>
      <c r="M20" s="210">
        <f t="shared" si="6"/>
        <v>167.31862992000001</v>
      </c>
      <c r="N20" s="216">
        <f t="shared" si="5"/>
        <v>165.56274000000002</v>
      </c>
      <c r="O20" s="217">
        <v>16.29</v>
      </c>
      <c r="P20" s="268">
        <v>20.3</v>
      </c>
      <c r="Q20" s="261">
        <v>20.02</v>
      </c>
      <c r="R20" s="253">
        <v>20.79</v>
      </c>
      <c r="S20" s="218">
        <v>0.19720799999999999</v>
      </c>
      <c r="T20" s="218">
        <v>0.18760399999999999</v>
      </c>
      <c r="U20" s="219">
        <v>0.190771</v>
      </c>
      <c r="V20" s="219">
        <v>0.18385199999999999</v>
      </c>
      <c r="W20" s="219">
        <v>0.18629100000000001</v>
      </c>
      <c r="X20" s="218">
        <v>0.19239999999999999</v>
      </c>
      <c r="Y20" s="218">
        <v>0.19139999999999999</v>
      </c>
      <c r="Z20" s="215">
        <v>18.989999999999998</v>
      </c>
      <c r="AA20" s="215">
        <v>19.309999999999999</v>
      </c>
      <c r="AB20" s="215">
        <v>19.98</v>
      </c>
      <c r="AC20" s="215">
        <v>20.010000000000002</v>
      </c>
      <c r="AD20" s="215">
        <v>19.29</v>
      </c>
      <c r="AE20" s="215">
        <v>19.37</v>
      </c>
      <c r="AF20" s="215">
        <v>18.52</v>
      </c>
      <c r="AG20" s="215">
        <v>18.350000000000001</v>
      </c>
      <c r="AH20" s="215">
        <v>19.190000000000001</v>
      </c>
      <c r="AI20" s="215">
        <v>20</v>
      </c>
      <c r="AJ20" s="215">
        <v>18.940000000000001</v>
      </c>
      <c r="AK20" s="215">
        <v>19.29</v>
      </c>
      <c r="AL20" s="215">
        <v>19.260000000000002</v>
      </c>
      <c r="AM20" s="215">
        <v>18.559999999999999</v>
      </c>
      <c r="AN20" s="215">
        <v>20.56</v>
      </c>
      <c r="AO20" s="215">
        <v>20.309999999999999</v>
      </c>
      <c r="AP20" s="215">
        <v>20.75</v>
      </c>
      <c r="AQ20" s="215">
        <v>21.94</v>
      </c>
      <c r="AR20" s="215">
        <v>22.22</v>
      </c>
      <c r="AS20" s="215">
        <v>19.760000000000002</v>
      </c>
      <c r="AT20" s="215">
        <v>16.649999999999999</v>
      </c>
      <c r="AU20" s="215">
        <v>16.649999999999999</v>
      </c>
      <c r="AV20" s="215">
        <v>16.649999999999999</v>
      </c>
      <c r="AW20" s="11" t="s">
        <v>218</v>
      </c>
    </row>
    <row r="21" spans="1:50" ht="15.75" customHeight="1" x14ac:dyDescent="0.25">
      <c r="A21" s="238"/>
      <c r="B21" s="238"/>
      <c r="C21" s="236"/>
      <c r="D21" s="236"/>
      <c r="E21" s="237"/>
      <c r="O21" s="236"/>
    </row>
    <row r="22" spans="1:50" ht="15.75" customHeight="1" x14ac:dyDescent="0.25">
      <c r="A22" s="238"/>
      <c r="B22" s="238"/>
      <c r="C22" s="236"/>
      <c r="D22" s="236"/>
      <c r="E22" s="237"/>
      <c r="O22" s="236"/>
    </row>
    <row r="23" spans="1:50" ht="15.75" customHeight="1" x14ac:dyDescent="0.25">
      <c r="A23" s="238"/>
      <c r="B23" s="238"/>
      <c r="C23" s="236"/>
      <c r="D23" s="236"/>
      <c r="E23" s="237"/>
      <c r="O23" s="236"/>
    </row>
    <row r="24" spans="1:50" ht="15.75" customHeight="1" x14ac:dyDescent="0.25">
      <c r="A24" s="233"/>
      <c r="B24" s="233"/>
    </row>
  </sheetData>
  <conditionalFormatting sqref="N4:N20">
    <cfRule type="expression" dxfId="45" priority="10">
      <formula>M4&lt;N4</formula>
    </cfRule>
    <cfRule type="expression" dxfId="44" priority="11">
      <formula>M4=N4</formula>
    </cfRule>
    <cfRule type="expression" dxfId="43" priority="12">
      <formula>M4&gt;N4</formula>
    </cfRule>
  </conditionalFormatting>
  <conditionalFormatting sqref="P2:AV2">
    <cfRule type="expression" dxfId="42" priority="4">
      <formula>O4&lt;P4</formula>
    </cfRule>
    <cfRule type="expression" dxfId="41" priority="5">
      <formula>O4&gt;P4</formula>
    </cfRule>
    <cfRule type="expression" dxfId="40" priority="6">
      <formula>O4=P4</formula>
    </cfRule>
  </conditionalFormatting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6"/>
  <sheetViews>
    <sheetView tabSelected="1" workbookViewId="0">
      <selection activeCell="H2" sqref="H2"/>
    </sheetView>
  </sheetViews>
  <sheetFormatPr defaultRowHeight="15" x14ac:dyDescent="0.25"/>
  <cols>
    <col min="4" max="4" width="9.28515625" customWidth="1"/>
    <col min="7" max="7" width="11.7109375" customWidth="1"/>
    <col min="8" max="8" width="14.42578125" customWidth="1"/>
    <col min="9" max="9" width="12" customWidth="1"/>
    <col min="10" max="10" width="10.7109375" customWidth="1"/>
    <col min="12" max="13" width="11.140625" customWidth="1"/>
    <col min="14" max="14" width="13" customWidth="1"/>
    <col min="16" max="16" width="12.140625" customWidth="1"/>
    <col min="38" max="41" width="11" customWidth="1"/>
    <col min="43" max="46" width="11.7109375" customWidth="1"/>
  </cols>
  <sheetData>
    <row r="1" spans="1:50" ht="15.75" customHeight="1" x14ac:dyDescent="0.35">
      <c r="A1" s="191" t="s">
        <v>233</v>
      </c>
      <c r="B1" s="205"/>
      <c r="C1" s="205"/>
      <c r="D1" s="206"/>
      <c r="E1" s="205"/>
      <c r="F1" s="205"/>
      <c r="G1" s="207"/>
      <c r="H1" s="205"/>
      <c r="I1" s="205"/>
      <c r="J1" s="205"/>
      <c r="K1" s="205"/>
      <c r="L1" s="205"/>
      <c r="M1" s="205"/>
      <c r="N1" s="205"/>
      <c r="O1" s="205"/>
      <c r="P1" s="120"/>
      <c r="Q1" s="120"/>
      <c r="R1" s="12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</row>
    <row r="2" spans="1:50" ht="15.75" customHeight="1" x14ac:dyDescent="0.35">
      <c r="A2" s="232"/>
      <c r="B2" s="221"/>
      <c r="C2" s="221"/>
      <c r="D2" s="217"/>
      <c r="E2" s="221"/>
      <c r="F2" s="221"/>
      <c r="G2" s="210" t="s">
        <v>291</v>
      </c>
      <c r="H2" s="1">
        <f>M2*12</f>
        <v>13527.88897274</v>
      </c>
      <c r="I2" s="221" t="s">
        <v>292</v>
      </c>
      <c r="J2" s="1">
        <f>N2*12</f>
        <v>11510.030078999998</v>
      </c>
      <c r="K2" s="221"/>
      <c r="L2" s="210">
        <f>AVERAGE(L4:L26)</f>
        <v>0.31522962500000001</v>
      </c>
      <c r="M2" s="210">
        <f>SUM(M4:M31)</f>
        <v>1127.3240810616667</v>
      </c>
      <c r="N2" s="210">
        <f>SUM(N4:N31)</f>
        <v>959.16917324999986</v>
      </c>
      <c r="O2" s="223">
        <f>AVERAGE(O4:O31)/100</f>
        <v>0.18886666666666665</v>
      </c>
      <c r="P2" s="223">
        <f>AVERAGE(P4:P31)/100</f>
        <v>0.19214166666666668</v>
      </c>
      <c r="Q2" s="223">
        <f t="shared" ref="Q2:AV2" si="0">AVERAGE(Q4:Q31)/100</f>
        <v>0.18741666666666665</v>
      </c>
      <c r="R2" s="223">
        <f t="shared" si="0"/>
        <v>0.19218333333333334</v>
      </c>
      <c r="S2" s="223">
        <f>AVERAGE(S4:S31)</f>
        <v>0.23211979635430968</v>
      </c>
      <c r="T2" s="223">
        <f>AVERAGE(T4:T31)</f>
        <v>0.18503651056205647</v>
      </c>
      <c r="U2" s="223">
        <f t="shared" ref="U2:Y2" si="1">AVERAGE(U4:U31)</f>
        <v>0.18940212582438284</v>
      </c>
      <c r="V2" s="223">
        <f t="shared" si="1"/>
        <v>0.18292222584541062</v>
      </c>
      <c r="W2" s="223">
        <f t="shared" si="1"/>
        <v>0.1826103781483045</v>
      </c>
      <c r="X2" s="223">
        <f t="shared" si="1"/>
        <v>0.16348333333333334</v>
      </c>
      <c r="Y2" s="223">
        <f t="shared" si="1"/>
        <v>0.16340000000000002</v>
      </c>
      <c r="Z2" s="223">
        <f t="shared" si="0"/>
        <v>0.1629363636363636</v>
      </c>
      <c r="AA2" s="223">
        <f t="shared" si="0"/>
        <v>0.16289090909090906</v>
      </c>
      <c r="AB2" s="223">
        <f t="shared" si="0"/>
        <v>0.16462727272727273</v>
      </c>
      <c r="AC2" s="223">
        <f t="shared" si="0"/>
        <v>0.16465454545454544</v>
      </c>
      <c r="AD2" s="223">
        <f t="shared" si="0"/>
        <v>0.16137272727272728</v>
      </c>
      <c r="AE2" s="223">
        <f t="shared" si="0"/>
        <v>0.18380909090909089</v>
      </c>
      <c r="AF2" s="223">
        <f t="shared" si="0"/>
        <v>0.16319999999999996</v>
      </c>
      <c r="AG2" s="223">
        <f t="shared" si="0"/>
        <v>0.16489999999999999</v>
      </c>
      <c r="AH2" s="223">
        <f t="shared" si="0"/>
        <v>0.16883636363636367</v>
      </c>
      <c r="AI2" s="223">
        <f t="shared" si="0"/>
        <v>0.17006363636363633</v>
      </c>
      <c r="AJ2" s="223">
        <f t="shared" si="0"/>
        <v>0.16566363636363637</v>
      </c>
      <c r="AK2" s="223">
        <f t="shared" si="0"/>
        <v>0.17319999999999999</v>
      </c>
      <c r="AL2" s="223">
        <f t="shared" si="0"/>
        <v>0.1730454545454545</v>
      </c>
      <c r="AM2" s="223">
        <f t="shared" si="0"/>
        <v>0.17560909090909088</v>
      </c>
      <c r="AN2" s="223">
        <f t="shared" si="0"/>
        <v>0.18186363636363637</v>
      </c>
      <c r="AO2" s="223">
        <f t="shared" si="0"/>
        <v>0.18145454545454545</v>
      </c>
      <c r="AP2" s="223">
        <f t="shared" si="0"/>
        <v>0.19326363636363639</v>
      </c>
      <c r="AQ2" s="223">
        <f t="shared" si="0"/>
        <v>0.20336363636363636</v>
      </c>
      <c r="AR2" s="223">
        <f t="shared" si="0"/>
        <v>0.20741818181818186</v>
      </c>
      <c r="AS2" s="223">
        <f t="shared" si="0"/>
        <v>0.19666363636363635</v>
      </c>
      <c r="AT2" s="223">
        <f t="shared" si="0"/>
        <v>0.19219999999999998</v>
      </c>
      <c r="AU2" s="223">
        <f t="shared" si="0"/>
        <v>0.19191818181818182</v>
      </c>
      <c r="AV2" s="223">
        <f t="shared" si="0"/>
        <v>0.19025454545454548</v>
      </c>
      <c r="AW2" s="221"/>
      <c r="AX2" s="221"/>
    </row>
    <row r="3" spans="1:50" ht="67.5" customHeight="1" x14ac:dyDescent="0.25">
      <c r="A3" s="123" t="s">
        <v>164</v>
      </c>
      <c r="B3" s="124" t="s">
        <v>165</v>
      </c>
      <c r="C3" s="123" t="s">
        <v>166</v>
      </c>
      <c r="D3" s="125" t="s">
        <v>167</v>
      </c>
      <c r="E3" s="123" t="s">
        <v>168</v>
      </c>
      <c r="F3" s="123" t="s">
        <v>169</v>
      </c>
      <c r="G3" s="126" t="s">
        <v>170</v>
      </c>
      <c r="H3" s="38" t="s">
        <v>171</v>
      </c>
      <c r="I3" s="123" t="s">
        <v>172</v>
      </c>
      <c r="J3" s="128" t="s">
        <v>173</v>
      </c>
      <c r="K3" s="129" t="s">
        <v>174</v>
      </c>
      <c r="L3" s="38" t="s">
        <v>175</v>
      </c>
      <c r="M3" s="126" t="s">
        <v>176</v>
      </c>
      <c r="N3" s="129" t="s">
        <v>177</v>
      </c>
      <c r="O3" s="123" t="s">
        <v>178</v>
      </c>
      <c r="P3" t="s">
        <v>179</v>
      </c>
      <c r="Q3" t="s">
        <v>180</v>
      </c>
      <c r="R3" t="s">
        <v>181</v>
      </c>
      <c r="S3" s="193" t="s">
        <v>182</v>
      </c>
      <c r="T3" s="193" t="s">
        <v>183</v>
      </c>
      <c r="U3" s="193" t="s">
        <v>184</v>
      </c>
      <c r="V3" s="193" t="s">
        <v>185</v>
      </c>
      <c r="W3" s="193" t="s">
        <v>186</v>
      </c>
      <c r="X3" t="s">
        <v>187</v>
      </c>
      <c r="Y3" s="230" t="s">
        <v>188</v>
      </c>
      <c r="Z3" s="230" t="s">
        <v>189</v>
      </c>
      <c r="AA3" s="230" t="s">
        <v>190</v>
      </c>
      <c r="AB3" s="230" t="s">
        <v>191</v>
      </c>
      <c r="AC3" s="230" t="s">
        <v>192</v>
      </c>
      <c r="AD3" s="230" t="s">
        <v>193</v>
      </c>
      <c r="AE3" s="230" t="s">
        <v>194</v>
      </c>
      <c r="AF3" s="230" t="s">
        <v>195</v>
      </c>
      <c r="AG3" s="230" t="s">
        <v>196</v>
      </c>
      <c r="AH3" s="230" t="s">
        <v>197</v>
      </c>
      <c r="AI3" s="230" t="s">
        <v>198</v>
      </c>
      <c r="AJ3" s="230" t="s">
        <v>199</v>
      </c>
      <c r="AK3" s="230" t="s">
        <v>200</v>
      </c>
      <c r="AL3" s="230" t="s">
        <v>201</v>
      </c>
      <c r="AM3" s="230" t="s">
        <v>202</v>
      </c>
      <c r="AN3" s="230" t="s">
        <v>203</v>
      </c>
      <c r="AO3" s="230" t="s">
        <v>204</v>
      </c>
      <c r="AP3" s="230" t="s">
        <v>205</v>
      </c>
      <c r="AQ3" s="230" t="s">
        <v>206</v>
      </c>
      <c r="AR3" s="230" t="s">
        <v>207</v>
      </c>
      <c r="AS3" s="231">
        <v>45753</v>
      </c>
      <c r="AT3" s="231">
        <v>45746</v>
      </c>
      <c r="AU3" s="231">
        <v>45740</v>
      </c>
      <c r="AV3" s="231">
        <v>45732</v>
      </c>
      <c r="AW3" s="53" t="s">
        <v>11</v>
      </c>
    </row>
    <row r="4" spans="1:50" ht="15.75" customHeight="1" x14ac:dyDescent="0.25">
      <c r="A4" s="194" t="s">
        <v>219</v>
      </c>
      <c r="B4" s="199">
        <v>367</v>
      </c>
      <c r="C4" s="4">
        <v>13.877599999999999</v>
      </c>
      <c r="D4" s="196">
        <v>10.09</v>
      </c>
      <c r="E4" s="4">
        <f t="shared" ref="E4:E15" si="2">D4-C4</f>
        <v>-3.7875999999999994</v>
      </c>
      <c r="F4" s="6">
        <f t="shared" ref="F4:F15" si="3">(D4/C4)/100</f>
        <v>7.2707096327895319E-3</v>
      </c>
      <c r="G4" s="7">
        <f t="shared" ref="G4:G15" si="4">B4*D4</f>
        <v>3703.0299999999997</v>
      </c>
      <c r="H4" s="210">
        <f t="shared" ref="H4:H15" si="5">B4*C4</f>
        <v>5093.0792000000001</v>
      </c>
      <c r="I4" s="7">
        <f t="shared" ref="I4:I15" si="6">G4-H4</f>
        <v>-1390.0492000000004</v>
      </c>
      <c r="J4" s="9">
        <v>45898.701793981483</v>
      </c>
      <c r="K4" t="s">
        <v>220</v>
      </c>
      <c r="L4" s="210">
        <f t="shared" ref="L4:L15" si="7">((D4*P4)/100)/12</f>
        <v>9.9975083333333339E-2</v>
      </c>
      <c r="M4" s="210">
        <f t="shared" ref="M4:M15" si="8">((B4*C4)*O4/100)/12</f>
        <v>60.268103866666671</v>
      </c>
      <c r="N4" s="216">
        <f t="shared" ref="N4:N15" si="9">((($B4*$D4)*P4)/12)/100</f>
        <v>36.690855583333338</v>
      </c>
      <c r="O4" s="217">
        <v>14.2</v>
      </c>
      <c r="P4" s="267">
        <v>11.89</v>
      </c>
      <c r="Q4" s="260">
        <v>10.15</v>
      </c>
      <c r="R4" s="252">
        <v>10.31</v>
      </c>
      <c r="S4" s="212">
        <v>0.10535600000000001</v>
      </c>
      <c r="T4" s="212">
        <v>9.6541000000000002E-2</v>
      </c>
      <c r="U4" s="213">
        <v>0.10041799999999999</v>
      </c>
      <c r="V4" s="213">
        <v>0.103004</v>
      </c>
      <c r="W4" s="213">
        <v>0.102564</v>
      </c>
      <c r="X4" s="212">
        <v>0.1011</v>
      </c>
      <c r="Y4" s="212">
        <v>0.10150000000000001</v>
      </c>
      <c r="Z4" s="214">
        <v>10.14</v>
      </c>
      <c r="AA4" s="214">
        <v>10.33</v>
      </c>
      <c r="AB4" s="214">
        <v>10.199999999999999</v>
      </c>
      <c r="AC4" s="214">
        <v>10.75</v>
      </c>
      <c r="AD4" s="214">
        <v>9.93</v>
      </c>
      <c r="AE4" s="214">
        <v>10.57</v>
      </c>
      <c r="AF4" s="214">
        <v>10.67</v>
      </c>
      <c r="AG4" s="214">
        <v>10.85</v>
      </c>
      <c r="AH4" s="214">
        <v>11.17</v>
      </c>
      <c r="AI4" s="214">
        <v>11.73</v>
      </c>
      <c r="AJ4" s="214">
        <v>11.4</v>
      </c>
      <c r="AK4" s="214">
        <v>12.11</v>
      </c>
      <c r="AL4" s="214">
        <v>12.7</v>
      </c>
      <c r="AM4" s="214">
        <v>13.45</v>
      </c>
      <c r="AN4" s="214">
        <v>11.55</v>
      </c>
      <c r="AO4" s="214">
        <v>10.83</v>
      </c>
      <c r="AP4" s="215">
        <v>15.4</v>
      </c>
      <c r="AQ4" s="215">
        <v>16.03</v>
      </c>
      <c r="AR4" s="215">
        <v>16.48</v>
      </c>
      <c r="AS4" s="215">
        <v>14.68</v>
      </c>
      <c r="AT4" s="215">
        <v>14.63</v>
      </c>
      <c r="AU4" s="214">
        <v>14.02</v>
      </c>
      <c r="AV4" s="214">
        <v>13.86</v>
      </c>
      <c r="AW4" s="11" t="s">
        <v>233</v>
      </c>
    </row>
    <row r="5" spans="1:50" ht="15.75" customHeight="1" x14ac:dyDescent="0.25">
      <c r="A5" s="194" t="s">
        <v>221</v>
      </c>
      <c r="B5" s="199">
        <v>931</v>
      </c>
      <c r="C5" s="4">
        <v>6.6412000000000004</v>
      </c>
      <c r="D5" s="196">
        <v>5.57</v>
      </c>
      <c r="E5" s="4">
        <f t="shared" si="2"/>
        <v>-1.0712000000000002</v>
      </c>
      <c r="F5" s="6">
        <f t="shared" si="3"/>
        <v>8.3870384870204165E-3</v>
      </c>
      <c r="G5" s="7">
        <f t="shared" si="4"/>
        <v>5185.67</v>
      </c>
      <c r="H5" s="210">
        <f t="shared" si="5"/>
        <v>6182.9572000000007</v>
      </c>
      <c r="I5" s="7">
        <f t="shared" si="6"/>
        <v>-997.28720000000067</v>
      </c>
      <c r="J5" s="9">
        <v>45869.701793981483</v>
      </c>
      <c r="K5" t="s">
        <v>209</v>
      </c>
      <c r="L5" s="210">
        <f t="shared" si="7"/>
        <v>7.7515833333333339E-2</v>
      </c>
      <c r="M5" s="210">
        <f t="shared" si="8"/>
        <v>80.017771096666664</v>
      </c>
      <c r="N5" s="216">
        <f t="shared" si="9"/>
        <v>72.167240833333338</v>
      </c>
      <c r="O5" s="217">
        <v>15.53</v>
      </c>
      <c r="P5" s="268">
        <v>16.7</v>
      </c>
      <c r="Q5" s="261">
        <v>16.52</v>
      </c>
      <c r="R5" s="253">
        <v>16.7</v>
      </c>
      <c r="S5" s="218">
        <v>0.16489400000000001</v>
      </c>
      <c r="T5" s="218">
        <v>0.16117899999999999</v>
      </c>
      <c r="U5" s="219">
        <v>0.16006899999999999</v>
      </c>
      <c r="V5" s="219">
        <v>0.15709500000000001</v>
      </c>
      <c r="W5" s="219">
        <v>0.15789500000000001</v>
      </c>
      <c r="X5" s="218">
        <v>0.15790000000000001</v>
      </c>
      <c r="Y5" s="218">
        <v>0.15659999999999999</v>
      </c>
      <c r="Z5" s="215">
        <v>15.79</v>
      </c>
      <c r="AA5" s="215">
        <v>15.55</v>
      </c>
      <c r="AB5" s="215">
        <v>15.63</v>
      </c>
      <c r="AC5" s="215">
        <v>15.63</v>
      </c>
      <c r="AD5" s="215">
        <v>15.63</v>
      </c>
      <c r="AE5" s="215">
        <v>15.6</v>
      </c>
      <c r="AF5" s="215">
        <v>15.58</v>
      </c>
      <c r="AG5" s="215">
        <v>15.66</v>
      </c>
      <c r="AH5" s="215">
        <v>15.87</v>
      </c>
      <c r="AI5" s="215">
        <v>15.82</v>
      </c>
      <c r="AJ5" s="215">
        <v>15.76</v>
      </c>
      <c r="AK5" s="215">
        <v>15.92</v>
      </c>
      <c r="AL5" s="215">
        <v>15.9</v>
      </c>
      <c r="AM5" s="215">
        <v>16.23</v>
      </c>
      <c r="AN5" s="215">
        <v>16.29</v>
      </c>
      <c r="AO5" s="215">
        <v>16.399999999999999</v>
      </c>
      <c r="AP5" s="215">
        <v>16.79</v>
      </c>
      <c r="AQ5" s="215">
        <v>16.88</v>
      </c>
      <c r="AR5" s="215">
        <v>17.350000000000001</v>
      </c>
      <c r="AS5" s="215">
        <v>16.059999999999999</v>
      </c>
      <c r="AT5" s="215">
        <v>15.74</v>
      </c>
      <c r="AU5" s="214">
        <v>15.5</v>
      </c>
      <c r="AV5" s="215">
        <v>15.68</v>
      </c>
      <c r="AW5" s="11" t="s">
        <v>233</v>
      </c>
    </row>
    <row r="6" spans="1:50" ht="15.75" customHeight="1" x14ac:dyDescent="0.25">
      <c r="A6" s="194" t="s">
        <v>208</v>
      </c>
      <c r="B6" s="199">
        <v>326</v>
      </c>
      <c r="C6" s="4">
        <v>10.37</v>
      </c>
      <c r="D6" s="196">
        <v>10</v>
      </c>
      <c r="E6" s="4">
        <f t="shared" si="2"/>
        <v>-0.36999999999999922</v>
      </c>
      <c r="F6" s="6">
        <f t="shared" si="3"/>
        <v>9.643201542912247E-3</v>
      </c>
      <c r="G6" s="7">
        <f t="shared" si="4"/>
        <v>3260</v>
      </c>
      <c r="H6" s="210">
        <f t="shared" si="5"/>
        <v>3380.62</v>
      </c>
      <c r="I6" s="7">
        <f t="shared" si="6"/>
        <v>-120.61999999999989</v>
      </c>
      <c r="J6" s="9">
        <v>45880.701793981483</v>
      </c>
      <c r="K6" t="s">
        <v>209</v>
      </c>
      <c r="L6" s="210">
        <f t="shared" si="7"/>
        <v>0.12</v>
      </c>
      <c r="M6" s="210">
        <f t="shared" si="8"/>
        <v>38.905301833333333</v>
      </c>
      <c r="N6" s="216">
        <f t="shared" si="9"/>
        <v>39.119999999999997</v>
      </c>
      <c r="O6" s="217">
        <v>13.81</v>
      </c>
      <c r="P6" s="268">
        <v>14.4</v>
      </c>
      <c r="Q6" s="261">
        <v>14.12</v>
      </c>
      <c r="R6" s="253">
        <v>14.41</v>
      </c>
      <c r="S6" s="218">
        <v>0.14501500000000001</v>
      </c>
      <c r="T6" s="218">
        <v>0.14385600000000001</v>
      </c>
      <c r="U6" s="219">
        <v>0.14754100000000001</v>
      </c>
      <c r="V6" s="219">
        <v>0.14257400000000001</v>
      </c>
      <c r="W6" s="219">
        <v>0.141454</v>
      </c>
      <c r="X6" s="218">
        <v>0.14119999999999999</v>
      </c>
      <c r="Y6" s="218">
        <v>0.1489</v>
      </c>
      <c r="Z6" s="215">
        <v>14.57</v>
      </c>
      <c r="AA6" s="215">
        <v>14.98</v>
      </c>
      <c r="AB6" s="215">
        <v>15.3</v>
      </c>
      <c r="AC6" s="215">
        <v>15.27</v>
      </c>
      <c r="AD6" s="215">
        <v>14.83</v>
      </c>
      <c r="AE6" s="215">
        <v>15.52</v>
      </c>
      <c r="AF6" s="215">
        <v>15.24</v>
      </c>
      <c r="AG6" s="215">
        <v>15.29</v>
      </c>
      <c r="AH6" s="215">
        <v>15.45</v>
      </c>
      <c r="AI6" s="215">
        <v>15.55</v>
      </c>
      <c r="AJ6" s="215">
        <v>15.32</v>
      </c>
      <c r="AK6" s="215">
        <v>15.93</v>
      </c>
      <c r="AL6" s="215">
        <v>16.309999999999999</v>
      </c>
      <c r="AM6" s="215">
        <v>16.350000000000001</v>
      </c>
      <c r="AN6" s="215">
        <v>16.22</v>
      </c>
      <c r="AO6" s="215">
        <v>16.350000000000001</v>
      </c>
      <c r="AP6" s="215">
        <v>16.510000000000002</v>
      </c>
      <c r="AQ6" s="215">
        <v>17.350000000000001</v>
      </c>
      <c r="AR6" s="215">
        <v>17.73</v>
      </c>
      <c r="AS6" s="215">
        <v>15.42</v>
      </c>
      <c r="AT6" s="215">
        <v>15.13</v>
      </c>
      <c r="AU6" s="215">
        <v>14.17</v>
      </c>
      <c r="AV6" s="215">
        <v>14.06</v>
      </c>
      <c r="AW6" s="11" t="s">
        <v>233</v>
      </c>
    </row>
    <row r="7" spans="1:50" ht="17.25" customHeight="1" x14ac:dyDescent="0.25">
      <c r="A7" s="194" t="s">
        <v>222</v>
      </c>
      <c r="B7" s="199">
        <v>200</v>
      </c>
      <c r="C7" s="4">
        <v>28.001799999999999</v>
      </c>
      <c r="D7" s="196">
        <v>18.079999999999998</v>
      </c>
      <c r="E7" s="4">
        <f t="shared" si="2"/>
        <v>-9.9218000000000011</v>
      </c>
      <c r="F7" s="6">
        <f t="shared" si="3"/>
        <v>6.4567277817854565E-3</v>
      </c>
      <c r="G7" s="7">
        <f t="shared" si="4"/>
        <v>3615.9999999999995</v>
      </c>
      <c r="H7" s="210">
        <f t="shared" si="5"/>
        <v>5600.36</v>
      </c>
      <c r="I7" s="7">
        <f t="shared" si="6"/>
        <v>-1984.3600000000001</v>
      </c>
      <c r="J7" s="9">
        <v>45876.701793981483</v>
      </c>
      <c r="K7" t="s">
        <v>209</v>
      </c>
      <c r="L7" s="210">
        <f t="shared" si="7"/>
        <v>0.83815866666666672</v>
      </c>
      <c r="M7" s="210">
        <f t="shared" si="8"/>
        <v>266.34378766666663</v>
      </c>
      <c r="N7" s="216">
        <f t="shared" si="9"/>
        <v>167.63173333333333</v>
      </c>
      <c r="O7" s="217">
        <v>57.07</v>
      </c>
      <c r="P7" s="267">
        <v>55.63</v>
      </c>
      <c r="Q7" s="260">
        <v>49.82</v>
      </c>
      <c r="R7" s="252">
        <v>51.72</v>
      </c>
      <c r="S7" s="212">
        <v>0.53357599999999994</v>
      </c>
      <c r="T7" s="212">
        <v>0.51304300000000003</v>
      </c>
      <c r="U7" s="213">
        <v>0.56388300000000002</v>
      </c>
      <c r="V7" s="213">
        <v>0.52376500000000004</v>
      </c>
      <c r="W7" s="213">
        <v>0.52636499999999997</v>
      </c>
      <c r="X7" s="212">
        <v>0.55969999999999998</v>
      </c>
      <c r="Y7" s="212">
        <v>0.54069999999999996</v>
      </c>
      <c r="Z7" s="214">
        <v>51.89</v>
      </c>
      <c r="AA7" s="214">
        <v>51.21</v>
      </c>
      <c r="AB7" s="214">
        <v>51.36</v>
      </c>
      <c r="AC7" s="214">
        <v>51.67</v>
      </c>
      <c r="AD7" s="214">
        <v>49.83</v>
      </c>
      <c r="AE7" s="214">
        <v>48.92</v>
      </c>
      <c r="AF7" s="214">
        <v>51.27</v>
      </c>
      <c r="AG7" s="214">
        <v>52.94</v>
      </c>
      <c r="AH7" s="214">
        <v>55.31</v>
      </c>
      <c r="AI7" s="215">
        <v>57.33</v>
      </c>
      <c r="AJ7" s="214">
        <v>55.67</v>
      </c>
      <c r="AK7" s="215">
        <v>58.32</v>
      </c>
      <c r="AL7" s="214">
        <v>56.87</v>
      </c>
      <c r="AM7" s="214">
        <v>54.14</v>
      </c>
      <c r="AN7" s="215">
        <v>59.28</v>
      </c>
      <c r="AO7" s="215">
        <v>62.12</v>
      </c>
      <c r="AP7" s="215">
        <v>67.78</v>
      </c>
      <c r="AQ7" s="215">
        <v>75.319999999999993</v>
      </c>
      <c r="AR7" s="215">
        <v>79.84</v>
      </c>
      <c r="AS7" s="215">
        <v>77.52</v>
      </c>
      <c r="AT7" s="215">
        <v>74.83</v>
      </c>
      <c r="AU7" s="215">
        <v>74.83</v>
      </c>
      <c r="AV7" s="215">
        <v>74.83</v>
      </c>
      <c r="AW7" s="11" t="s">
        <v>233</v>
      </c>
    </row>
    <row r="8" spans="1:50" ht="15.75" customHeight="1" x14ac:dyDescent="0.25">
      <c r="A8" s="194" t="s">
        <v>226</v>
      </c>
      <c r="B8" s="199">
        <v>300</v>
      </c>
      <c r="C8" s="4">
        <v>15.65</v>
      </c>
      <c r="D8" s="196">
        <v>12.97</v>
      </c>
      <c r="E8" s="4">
        <f t="shared" si="2"/>
        <v>-2.6799999999999997</v>
      </c>
      <c r="F8" s="6">
        <f t="shared" si="3"/>
        <v>8.2875399361022357E-3</v>
      </c>
      <c r="G8" s="7">
        <f t="shared" si="4"/>
        <v>3891</v>
      </c>
      <c r="H8" s="210">
        <f t="shared" si="5"/>
        <v>4695</v>
      </c>
      <c r="I8" s="7">
        <f t="shared" si="6"/>
        <v>-804</v>
      </c>
      <c r="J8" s="9">
        <v>45898.701805555553</v>
      </c>
      <c r="K8" t="s">
        <v>209</v>
      </c>
      <c r="L8" s="210">
        <f t="shared" si="7"/>
        <v>0.13002425000000001</v>
      </c>
      <c r="M8" s="210">
        <f t="shared" si="8"/>
        <v>59.587375000000009</v>
      </c>
      <c r="N8" s="216">
        <f t="shared" si="9"/>
        <v>39.007274999999993</v>
      </c>
      <c r="O8" s="217">
        <v>15.23</v>
      </c>
      <c r="P8" s="267">
        <v>12.03</v>
      </c>
      <c r="Q8" s="260">
        <v>12.28</v>
      </c>
      <c r="R8" s="252">
        <v>12.78</v>
      </c>
      <c r="S8" s="212">
        <v>0.12479999999999999</v>
      </c>
      <c r="T8" s="212">
        <v>0.116679</v>
      </c>
      <c r="U8" s="213">
        <v>0.118812</v>
      </c>
      <c r="V8" s="213">
        <v>0.119357</v>
      </c>
      <c r="W8" s="213">
        <v>0.116592</v>
      </c>
      <c r="X8" s="212">
        <v>0.11210000000000001</v>
      </c>
      <c r="Y8" s="212">
        <v>0.11260000000000001</v>
      </c>
      <c r="Z8" s="214">
        <v>11.7</v>
      </c>
      <c r="AA8" s="214">
        <v>12.01</v>
      </c>
      <c r="AB8" s="214">
        <v>12.73</v>
      </c>
      <c r="AC8" s="214">
        <v>12.01</v>
      </c>
      <c r="AD8" s="214">
        <v>12.05</v>
      </c>
      <c r="AE8" s="214">
        <v>11.61</v>
      </c>
      <c r="AF8" s="214">
        <v>11.24</v>
      </c>
      <c r="AG8" s="214">
        <v>11.35</v>
      </c>
      <c r="AH8" s="214">
        <v>11.62</v>
      </c>
      <c r="AI8" s="214">
        <v>11.66</v>
      </c>
      <c r="AJ8" s="214">
        <v>11.86</v>
      </c>
      <c r="AK8" s="214">
        <v>12.17</v>
      </c>
      <c r="AL8" s="214">
        <v>11.8</v>
      </c>
      <c r="AM8" s="215">
        <v>16.72</v>
      </c>
      <c r="AN8" s="215">
        <v>16.670000000000002</v>
      </c>
      <c r="AO8" s="215">
        <v>17.13</v>
      </c>
      <c r="AP8" s="215">
        <v>17.13</v>
      </c>
      <c r="AQ8" s="215">
        <v>17.38</v>
      </c>
      <c r="AR8" s="215">
        <v>17.079999999999998</v>
      </c>
      <c r="AS8" s="215">
        <v>16.18</v>
      </c>
      <c r="AT8" s="215">
        <v>16.02</v>
      </c>
      <c r="AU8" s="215">
        <v>16.04</v>
      </c>
      <c r="AV8" s="215">
        <v>15.75</v>
      </c>
      <c r="AW8" s="11" t="s">
        <v>233</v>
      </c>
    </row>
    <row r="9" spans="1:50" ht="15.75" customHeight="1" x14ac:dyDescent="0.25">
      <c r="A9" s="194" t="s">
        <v>227</v>
      </c>
      <c r="B9" s="199">
        <v>90</v>
      </c>
      <c r="C9" s="4">
        <v>11.3</v>
      </c>
      <c r="D9" s="196">
        <v>10.35</v>
      </c>
      <c r="E9" s="4">
        <f t="shared" si="2"/>
        <v>-0.95000000000000107</v>
      </c>
      <c r="F9" s="6">
        <f t="shared" si="3"/>
        <v>9.1592920353982289E-3</v>
      </c>
      <c r="G9" s="7">
        <f t="shared" si="4"/>
        <v>931.5</v>
      </c>
      <c r="H9" s="210">
        <f t="shared" si="5"/>
        <v>1017.0000000000001</v>
      </c>
      <c r="I9" s="7">
        <f t="shared" si="6"/>
        <v>-85.500000000000114</v>
      </c>
      <c r="J9" s="9">
        <v>45845.701805555553</v>
      </c>
      <c r="K9" t="s">
        <v>220</v>
      </c>
      <c r="L9" s="210">
        <f t="shared" si="7"/>
        <v>0.12100875</v>
      </c>
      <c r="M9" s="210">
        <f t="shared" si="8"/>
        <v>9.1784250000000007</v>
      </c>
      <c r="N9" s="216">
        <f t="shared" si="9"/>
        <v>10.890787499999998</v>
      </c>
      <c r="O9" s="217">
        <v>10.83</v>
      </c>
      <c r="P9" s="268">
        <v>14.03</v>
      </c>
      <c r="Q9" s="261">
        <v>13.75</v>
      </c>
      <c r="R9" s="253">
        <v>13.97</v>
      </c>
      <c r="S9" s="218">
        <v>0.132717</v>
      </c>
      <c r="T9" s="218">
        <v>0.12931699999999999</v>
      </c>
      <c r="U9" s="219">
        <v>0.122782</v>
      </c>
      <c r="V9" s="219">
        <v>0.11976299999999999</v>
      </c>
      <c r="W9" s="219">
        <v>0.118468</v>
      </c>
      <c r="X9" s="218">
        <v>0.1172</v>
      </c>
      <c r="Y9" s="218">
        <v>0.12089999999999999</v>
      </c>
      <c r="Z9" s="215">
        <v>12</v>
      </c>
      <c r="AA9" s="215">
        <v>12.22</v>
      </c>
      <c r="AB9" s="215">
        <v>12.42</v>
      </c>
      <c r="AC9" s="215">
        <v>12.61</v>
      </c>
      <c r="AD9" s="215">
        <v>12.19</v>
      </c>
      <c r="AE9" s="215">
        <v>12.52</v>
      </c>
      <c r="AF9" s="215">
        <v>12.31</v>
      </c>
      <c r="AG9" s="215">
        <v>12.43</v>
      </c>
      <c r="AH9" s="215">
        <v>12.4</v>
      </c>
      <c r="AI9" s="215">
        <v>12.61</v>
      </c>
      <c r="AJ9" s="215">
        <v>12.38</v>
      </c>
      <c r="AK9" s="215">
        <v>12.76</v>
      </c>
      <c r="AL9" s="215">
        <v>13.02</v>
      </c>
      <c r="AM9" s="215">
        <v>13.05</v>
      </c>
      <c r="AN9" s="215">
        <v>12.76</v>
      </c>
      <c r="AO9" s="215">
        <v>12.78</v>
      </c>
      <c r="AP9" s="215">
        <v>13.17</v>
      </c>
      <c r="AQ9" s="215">
        <v>13.88</v>
      </c>
      <c r="AR9" s="215">
        <v>14.2</v>
      </c>
      <c r="AS9" s="215">
        <v>12.43</v>
      </c>
      <c r="AT9" s="214">
        <v>10.41</v>
      </c>
      <c r="AU9" s="215">
        <v>10.83</v>
      </c>
      <c r="AV9" s="215">
        <v>10.83</v>
      </c>
      <c r="AW9" s="11" t="s">
        <v>233</v>
      </c>
    </row>
    <row r="10" spans="1:50" ht="15.75" customHeight="1" x14ac:dyDescent="0.25">
      <c r="A10" s="194" t="s">
        <v>228</v>
      </c>
      <c r="B10" s="199">
        <v>348</v>
      </c>
      <c r="C10" s="4">
        <v>9.5274000000000001</v>
      </c>
      <c r="D10" s="196">
        <v>5.97</v>
      </c>
      <c r="E10" s="4">
        <f t="shared" si="2"/>
        <v>-3.5574000000000003</v>
      </c>
      <c r="F10" s="6">
        <f t="shared" si="3"/>
        <v>6.2661376660998799E-3</v>
      </c>
      <c r="G10" s="7">
        <f t="shared" si="4"/>
        <v>2077.56</v>
      </c>
      <c r="H10" s="210">
        <f t="shared" si="5"/>
        <v>3315.5352000000003</v>
      </c>
      <c r="I10" s="7">
        <f t="shared" si="6"/>
        <v>-1237.9752000000003</v>
      </c>
      <c r="J10" s="9">
        <v>45930.701805555553</v>
      </c>
      <c r="K10" t="s">
        <v>220</v>
      </c>
      <c r="L10" s="210">
        <f t="shared" si="7"/>
        <v>5.666525E-2</v>
      </c>
      <c r="M10" s="210">
        <f t="shared" si="8"/>
        <v>44.317653839999998</v>
      </c>
      <c r="N10" s="216">
        <f t="shared" si="9"/>
        <v>19.719507</v>
      </c>
      <c r="O10" s="217">
        <v>16.04</v>
      </c>
      <c r="P10" s="267">
        <v>11.39</v>
      </c>
      <c r="Q10" s="261">
        <v>19.059999999999999</v>
      </c>
      <c r="R10" s="253">
        <v>19.57</v>
      </c>
      <c r="S10" s="218">
        <v>0.18915199999999999</v>
      </c>
      <c r="T10" s="218">
        <v>0.176394</v>
      </c>
      <c r="U10" s="219">
        <v>0.17228299999999999</v>
      </c>
      <c r="V10" s="219">
        <v>0.16326499999999999</v>
      </c>
      <c r="W10" s="213">
        <v>0.155695</v>
      </c>
      <c r="X10" s="212">
        <v>0.157</v>
      </c>
      <c r="Y10" s="218">
        <v>0.1628</v>
      </c>
      <c r="Z10" s="215">
        <v>16.350000000000001</v>
      </c>
      <c r="AA10" s="215">
        <v>16.43</v>
      </c>
      <c r="AB10" s="215">
        <v>16.45</v>
      </c>
      <c r="AC10" s="226">
        <v>16.04</v>
      </c>
      <c r="AD10" s="226">
        <v>16.04</v>
      </c>
      <c r="AE10" s="214">
        <v>15.96</v>
      </c>
      <c r="AF10" s="215">
        <v>16.079999999999998</v>
      </c>
      <c r="AG10" s="214">
        <v>15.93</v>
      </c>
      <c r="AH10" s="215">
        <v>16.079999999999998</v>
      </c>
      <c r="AI10" s="214">
        <v>15.53</v>
      </c>
      <c r="AJ10" s="214">
        <v>15.23</v>
      </c>
      <c r="AK10" s="215">
        <v>16.190000000000001</v>
      </c>
      <c r="AL10" s="215">
        <v>16.22</v>
      </c>
      <c r="AM10" s="215">
        <v>16.41</v>
      </c>
      <c r="AN10" s="214">
        <v>15.91</v>
      </c>
      <c r="AO10" s="214">
        <v>15.49</v>
      </c>
      <c r="AP10" s="214">
        <v>15.93</v>
      </c>
      <c r="AQ10" s="215">
        <v>16.690000000000001</v>
      </c>
      <c r="AR10" s="215">
        <v>16.350000000000001</v>
      </c>
      <c r="AS10" s="214">
        <v>14.99</v>
      </c>
      <c r="AT10" s="214">
        <v>15.13</v>
      </c>
      <c r="AU10" s="214">
        <v>14.82</v>
      </c>
      <c r="AV10" s="214">
        <v>14.62</v>
      </c>
      <c r="AW10" s="11" t="s">
        <v>233</v>
      </c>
    </row>
    <row r="11" spans="1:50" ht="15.75" customHeight="1" x14ac:dyDescent="0.25">
      <c r="A11" s="194" t="s">
        <v>229</v>
      </c>
      <c r="B11" s="199">
        <v>380</v>
      </c>
      <c r="C11" s="4">
        <v>19.151299999999999</v>
      </c>
      <c r="D11" s="196">
        <v>18.36</v>
      </c>
      <c r="E11" s="4">
        <f t="shared" si="2"/>
        <v>-0.79129999999999967</v>
      </c>
      <c r="F11" s="6">
        <f t="shared" si="3"/>
        <v>9.5868165607556673E-3</v>
      </c>
      <c r="G11" s="7">
        <f t="shared" si="4"/>
        <v>6976.8</v>
      </c>
      <c r="H11" s="210">
        <f t="shared" si="5"/>
        <v>7277.4939999999997</v>
      </c>
      <c r="I11" s="7">
        <f t="shared" si="6"/>
        <v>-300.69399999999951</v>
      </c>
      <c r="J11" s="9">
        <v>45870.701805555553</v>
      </c>
      <c r="K11" t="s">
        <v>209</v>
      </c>
      <c r="L11" s="210">
        <f t="shared" si="7"/>
        <v>0.220473</v>
      </c>
      <c r="M11" s="210">
        <f t="shared" si="8"/>
        <v>100.97522924999998</v>
      </c>
      <c r="N11" s="216">
        <f t="shared" si="9"/>
        <v>83.779740000000004</v>
      </c>
      <c r="O11" s="217">
        <v>16.649999999999999</v>
      </c>
      <c r="P11" s="267">
        <v>14.41</v>
      </c>
      <c r="Q11" s="260">
        <v>14.2</v>
      </c>
      <c r="R11" s="252">
        <v>13.96</v>
      </c>
      <c r="S11" s="212">
        <v>0.13411000000000001</v>
      </c>
      <c r="T11" s="212">
        <v>0.13336700000000001</v>
      </c>
      <c r="U11" s="213">
        <v>0.13411000000000001</v>
      </c>
      <c r="V11" s="213">
        <v>0.133907</v>
      </c>
      <c r="W11" s="213">
        <v>0.1333</v>
      </c>
      <c r="X11" s="212">
        <v>0.13250000000000001</v>
      </c>
      <c r="Y11" s="212">
        <v>0.1358</v>
      </c>
      <c r="Z11" s="214">
        <v>13.7</v>
      </c>
      <c r="AA11" s="214">
        <v>13.82</v>
      </c>
      <c r="AB11" s="214">
        <v>13.71</v>
      </c>
      <c r="AC11" s="214">
        <v>13.78</v>
      </c>
      <c r="AD11" s="214">
        <v>13.85</v>
      </c>
      <c r="AE11" s="214">
        <v>13.99</v>
      </c>
      <c r="AF11" s="214">
        <v>13.93</v>
      </c>
      <c r="AG11" s="214">
        <v>13.89</v>
      </c>
      <c r="AH11" s="214">
        <v>14.05</v>
      </c>
      <c r="AI11" s="214">
        <v>14.2</v>
      </c>
      <c r="AJ11" s="214">
        <v>14.07</v>
      </c>
      <c r="AK11" s="214">
        <v>14.03</v>
      </c>
      <c r="AL11" s="214">
        <v>14.07</v>
      </c>
      <c r="AM11" s="214">
        <v>14.41</v>
      </c>
      <c r="AN11" s="214">
        <v>13.98</v>
      </c>
      <c r="AO11" s="214">
        <v>14.21</v>
      </c>
      <c r="AP11" s="214">
        <v>14.44</v>
      </c>
      <c r="AQ11" s="214">
        <v>14.93</v>
      </c>
      <c r="AR11" s="214">
        <v>14.89</v>
      </c>
      <c r="AS11" s="214">
        <v>13.42</v>
      </c>
      <c r="AT11" s="215">
        <v>16.649999999999999</v>
      </c>
      <c r="AU11" s="215">
        <v>16.649999999999999</v>
      </c>
      <c r="AV11" s="215">
        <v>16.649999999999999</v>
      </c>
      <c r="AW11" s="11" t="s">
        <v>233</v>
      </c>
    </row>
    <row r="12" spans="1:50" ht="15.75" customHeight="1" x14ac:dyDescent="0.25">
      <c r="A12" s="194" t="s">
        <v>212</v>
      </c>
      <c r="B12" s="199">
        <v>237</v>
      </c>
      <c r="C12" s="4">
        <v>38.83</v>
      </c>
      <c r="D12" s="196">
        <v>36.090000000000003</v>
      </c>
      <c r="E12" s="4">
        <f t="shared" si="2"/>
        <v>-2.7399999999999949</v>
      </c>
      <c r="F12" s="6">
        <f t="shared" si="3"/>
        <v>9.2943600309039424E-3</v>
      </c>
      <c r="G12" s="7">
        <f t="shared" si="4"/>
        <v>8553.33</v>
      </c>
      <c r="H12" s="210">
        <f t="shared" si="5"/>
        <v>9202.7099999999991</v>
      </c>
      <c r="I12" s="7">
        <f t="shared" si="6"/>
        <v>-649.3799999999992</v>
      </c>
      <c r="J12" s="9">
        <v>45870.701805555553</v>
      </c>
      <c r="K12" t="s">
        <v>213</v>
      </c>
      <c r="L12" s="210">
        <f t="shared" si="7"/>
        <v>1.0219484999999999</v>
      </c>
      <c r="M12" s="210">
        <f t="shared" si="8"/>
        <v>224.92957024999995</v>
      </c>
      <c r="N12" s="216">
        <f t="shared" si="9"/>
        <v>242.20179449999995</v>
      </c>
      <c r="O12" s="4">
        <v>29.33</v>
      </c>
      <c r="P12" s="268">
        <v>33.979999999999997</v>
      </c>
      <c r="Q12" s="260">
        <v>29.04</v>
      </c>
      <c r="R12" s="253">
        <v>30.37</v>
      </c>
      <c r="S12" s="218">
        <v>0.30888242142025613</v>
      </c>
      <c r="T12" s="218">
        <v>0.30365712674467782</v>
      </c>
      <c r="U12" s="219">
        <v>0.29924250989259471</v>
      </c>
      <c r="V12" s="219">
        <v>0.29057971014492751</v>
      </c>
      <c r="W12" s="219">
        <v>0.29325453777965388</v>
      </c>
      <c r="X12" s="218">
        <v>9.8799999999999999E-2</v>
      </c>
      <c r="Y12" s="218">
        <v>6.9800000000000001E-2</v>
      </c>
      <c r="Z12" s="215">
        <v>8.1999999999999993</v>
      </c>
      <c r="AA12" s="215">
        <v>7.85</v>
      </c>
      <c r="AB12" s="215">
        <v>8.14</v>
      </c>
      <c r="AC12" s="214">
        <v>8.08</v>
      </c>
      <c r="AD12" s="214">
        <v>8</v>
      </c>
      <c r="AE12" s="215">
        <v>32.4</v>
      </c>
      <c r="AF12" s="215">
        <v>8.08</v>
      </c>
      <c r="AG12" s="215">
        <v>7.82</v>
      </c>
      <c r="AH12" s="215">
        <v>8.43</v>
      </c>
      <c r="AI12" s="215">
        <v>7.18</v>
      </c>
      <c r="AJ12" s="214">
        <v>5.05</v>
      </c>
      <c r="AK12" s="215">
        <v>7.3</v>
      </c>
      <c r="AL12" s="215">
        <v>7.54</v>
      </c>
      <c r="AM12" s="214">
        <v>6.11</v>
      </c>
      <c r="AN12" s="215">
        <v>11.39</v>
      </c>
      <c r="AO12" s="215">
        <v>8.17</v>
      </c>
      <c r="AP12" s="215">
        <v>9.17</v>
      </c>
      <c r="AQ12" s="215">
        <v>8.3000000000000007</v>
      </c>
      <c r="AR12" s="215">
        <v>7.08</v>
      </c>
      <c r="AS12" s="215">
        <v>9.1300000000000008</v>
      </c>
      <c r="AT12" s="227">
        <v>7.92</v>
      </c>
      <c r="AU12" s="227">
        <v>9.2899999999999991</v>
      </c>
      <c r="AV12" s="227">
        <v>8.0399999999999991</v>
      </c>
      <c r="AW12" s="11" t="s">
        <v>233</v>
      </c>
    </row>
    <row r="13" spans="1:50" ht="21" customHeight="1" x14ac:dyDescent="0.25">
      <c r="A13" s="194" t="s">
        <v>214</v>
      </c>
      <c r="B13" s="195">
        <v>174</v>
      </c>
      <c r="C13" s="4">
        <v>52.6</v>
      </c>
      <c r="D13" s="196">
        <v>55.52</v>
      </c>
      <c r="E13" s="4">
        <f t="shared" si="2"/>
        <v>2.9200000000000017</v>
      </c>
      <c r="F13" s="6">
        <f t="shared" si="3"/>
        <v>1.0555133079847909E-2</v>
      </c>
      <c r="G13" s="7">
        <f t="shared" si="4"/>
        <v>9660.4800000000014</v>
      </c>
      <c r="H13" s="210">
        <f t="shared" si="5"/>
        <v>9152.4</v>
      </c>
      <c r="I13" s="7">
        <f t="shared" si="6"/>
        <v>508.08000000000175</v>
      </c>
      <c r="J13" s="9">
        <v>45922</v>
      </c>
      <c r="K13" t="s">
        <v>209</v>
      </c>
      <c r="L13" s="210">
        <f t="shared" si="7"/>
        <v>0.64449466666666666</v>
      </c>
      <c r="M13" s="210">
        <f t="shared" si="8"/>
        <v>104.48989999999999</v>
      </c>
      <c r="N13" s="216">
        <f t="shared" si="9"/>
        <v>112.14207200000003</v>
      </c>
      <c r="O13" s="217">
        <v>13.7</v>
      </c>
      <c r="P13" s="268">
        <v>13.93</v>
      </c>
      <c r="Q13" s="261">
        <v>14.1</v>
      </c>
      <c r="R13" s="253">
        <v>14.12</v>
      </c>
      <c r="S13" s="218">
        <v>0.62429213483146073</v>
      </c>
      <c r="T13" s="212">
        <v>0.135105</v>
      </c>
      <c r="U13" s="219">
        <v>0.13714199999999999</v>
      </c>
      <c r="V13" s="213">
        <v>0.134687</v>
      </c>
      <c r="W13" s="213">
        <v>0.135986</v>
      </c>
      <c r="X13" s="222">
        <v>0.13700000000000001</v>
      </c>
      <c r="Y13" s="223"/>
      <c r="AW13" s="11" t="s">
        <v>233</v>
      </c>
    </row>
    <row r="14" spans="1:50" ht="21" customHeight="1" x14ac:dyDescent="0.25">
      <c r="A14" s="194" t="s">
        <v>231</v>
      </c>
      <c r="B14" s="195">
        <v>790</v>
      </c>
      <c r="C14" s="4">
        <v>16.540700000000001</v>
      </c>
      <c r="D14" s="196">
        <v>15.41</v>
      </c>
      <c r="E14" s="4">
        <f t="shared" si="2"/>
        <v>-1.1307000000000009</v>
      </c>
      <c r="F14" s="6">
        <f t="shared" si="3"/>
        <v>9.3164134528768427E-3</v>
      </c>
      <c r="G14" s="7">
        <f t="shared" si="4"/>
        <v>12173.9</v>
      </c>
      <c r="H14" s="210">
        <f t="shared" si="5"/>
        <v>13067.153</v>
      </c>
      <c r="I14" s="7">
        <f t="shared" si="6"/>
        <v>-893.25300000000061</v>
      </c>
      <c r="J14" s="9">
        <v>45866.701805555553</v>
      </c>
      <c r="K14" t="s">
        <v>209</v>
      </c>
      <c r="L14" s="210">
        <f t="shared" si="7"/>
        <v>0.15255900000000003</v>
      </c>
      <c r="M14" s="210">
        <f t="shared" si="8"/>
        <v>129.25592175833333</v>
      </c>
      <c r="N14" s="216">
        <f t="shared" si="9"/>
        <v>120.52161</v>
      </c>
      <c r="O14" s="217">
        <v>11.87</v>
      </c>
      <c r="P14" s="268">
        <v>11.88</v>
      </c>
      <c r="Q14" s="260">
        <v>11.84</v>
      </c>
      <c r="R14" s="253">
        <v>11.92</v>
      </c>
      <c r="S14" s="218">
        <v>0.12543499999999999</v>
      </c>
      <c r="T14" s="218">
        <v>0.123696</v>
      </c>
      <c r="U14" s="219">
        <v>0.12577199999999999</v>
      </c>
      <c r="V14" s="219">
        <v>0.12321799999999999</v>
      </c>
      <c r="W14" s="219">
        <v>0.12346</v>
      </c>
      <c r="X14" s="218">
        <v>0.12429999999999999</v>
      </c>
      <c r="Y14" s="218">
        <v>0.12470000000000001</v>
      </c>
      <c r="Z14" s="215">
        <v>12.5</v>
      </c>
      <c r="AA14" s="215">
        <v>12.52</v>
      </c>
      <c r="AB14" s="215">
        <v>12.83</v>
      </c>
      <c r="AC14" s="215">
        <v>12.89</v>
      </c>
      <c r="AD14" s="215">
        <v>12.77</v>
      </c>
      <c r="AE14" s="215">
        <v>12.66</v>
      </c>
      <c r="AF14" s="215">
        <v>12.67</v>
      </c>
      <c r="AG14" s="215">
        <v>12.74</v>
      </c>
      <c r="AH14" s="215">
        <v>12.81</v>
      </c>
      <c r="AI14" s="215">
        <v>12.89</v>
      </c>
      <c r="AJ14" s="215">
        <v>12.92</v>
      </c>
      <c r="AK14" s="215">
        <v>13.1</v>
      </c>
      <c r="AL14" s="215">
        <v>13.2</v>
      </c>
      <c r="AM14" s="215">
        <v>13.39</v>
      </c>
      <c r="AN14" s="215">
        <v>13.25</v>
      </c>
      <c r="AO14" s="215">
        <v>13.33</v>
      </c>
      <c r="AP14" s="215">
        <v>13.36</v>
      </c>
      <c r="AQ14" s="215">
        <v>13.79</v>
      </c>
      <c r="AR14" s="215">
        <v>14.02</v>
      </c>
      <c r="AS14" s="215">
        <v>13.48</v>
      </c>
      <c r="AT14" s="215">
        <v>12.28</v>
      </c>
      <c r="AU14" s="215">
        <v>12.28</v>
      </c>
      <c r="AV14" s="215">
        <v>12.28</v>
      </c>
      <c r="AW14" s="11" t="s">
        <v>233</v>
      </c>
    </row>
    <row r="15" spans="1:50" ht="15.75" customHeight="1" x14ac:dyDescent="0.25">
      <c r="A15" s="194" t="s">
        <v>232</v>
      </c>
      <c r="B15" s="195">
        <v>51</v>
      </c>
      <c r="C15" s="4">
        <v>17.21</v>
      </c>
      <c r="D15" s="196">
        <v>17.73</v>
      </c>
      <c r="E15" s="4">
        <f t="shared" si="2"/>
        <v>0.51999999999999957</v>
      </c>
      <c r="F15" s="6">
        <f t="shared" si="3"/>
        <v>1.0302149912841372E-2</v>
      </c>
      <c r="G15" s="7">
        <f t="shared" si="4"/>
        <v>904.23</v>
      </c>
      <c r="H15" s="210">
        <f t="shared" si="5"/>
        <v>877.71</v>
      </c>
      <c r="I15" s="7">
        <f t="shared" si="6"/>
        <v>26.519999999999982</v>
      </c>
      <c r="J15" s="9">
        <v>45894.670046296298</v>
      </c>
      <c r="K15" t="s">
        <v>209</v>
      </c>
      <c r="L15" s="210">
        <f t="shared" si="7"/>
        <v>0.29993250000000005</v>
      </c>
      <c r="M15" s="210">
        <f t="shared" si="8"/>
        <v>9.0550414999999997</v>
      </c>
      <c r="N15" s="216">
        <f t="shared" si="9"/>
        <v>15.2965575</v>
      </c>
      <c r="O15" s="217">
        <v>12.38</v>
      </c>
      <c r="P15" s="268">
        <v>20.3</v>
      </c>
      <c r="Q15" s="261">
        <v>20.02</v>
      </c>
      <c r="R15" s="253">
        <v>20.79</v>
      </c>
      <c r="S15" s="218">
        <v>0.19720799999999999</v>
      </c>
      <c r="T15" s="218">
        <v>0.18760399999999999</v>
      </c>
      <c r="U15" s="219">
        <v>0.190771</v>
      </c>
      <c r="V15" s="219">
        <v>0.18385199999999999</v>
      </c>
      <c r="W15" s="219">
        <v>0.18629100000000001</v>
      </c>
      <c r="X15" s="212">
        <v>0.123</v>
      </c>
      <c r="Y15" s="212">
        <v>0.1231</v>
      </c>
      <c r="Z15" s="215">
        <v>12.39</v>
      </c>
      <c r="AA15" s="214">
        <v>12.26</v>
      </c>
      <c r="AB15" s="214">
        <v>12.32</v>
      </c>
      <c r="AC15" s="215">
        <v>12.39</v>
      </c>
      <c r="AD15" s="215">
        <v>12.39</v>
      </c>
      <c r="AE15" s="215">
        <v>12.44</v>
      </c>
      <c r="AF15" s="215">
        <v>12.45</v>
      </c>
      <c r="AG15" s="215">
        <v>12.49</v>
      </c>
      <c r="AH15" s="215">
        <v>12.53</v>
      </c>
      <c r="AI15" s="215">
        <v>12.57</v>
      </c>
      <c r="AJ15" s="215">
        <v>12.57</v>
      </c>
      <c r="AK15" s="215">
        <v>12.69</v>
      </c>
      <c r="AL15" s="215">
        <v>12.72</v>
      </c>
      <c r="AM15" s="215">
        <v>12.91</v>
      </c>
      <c r="AN15" s="215">
        <v>12.75</v>
      </c>
      <c r="AO15" s="215">
        <v>12.79</v>
      </c>
      <c r="AP15" s="215">
        <v>12.91</v>
      </c>
      <c r="AQ15" s="215">
        <v>13.15</v>
      </c>
      <c r="AR15" s="215">
        <v>13.14</v>
      </c>
      <c r="AS15" s="215">
        <v>13.02</v>
      </c>
      <c r="AT15" s="215">
        <v>12.68</v>
      </c>
      <c r="AU15" s="215">
        <v>12.68</v>
      </c>
      <c r="AV15" s="215">
        <v>12.68</v>
      </c>
      <c r="AW15" s="11" t="s">
        <v>233</v>
      </c>
    </row>
    <row r="16" spans="1:50" ht="15.75" customHeight="1" x14ac:dyDescent="0.25">
      <c r="E16" s="4"/>
      <c r="F16" s="6"/>
    </row>
  </sheetData>
  <conditionalFormatting sqref="N4:N15">
    <cfRule type="expression" dxfId="39" priority="7">
      <formula>M4=N4</formula>
    </cfRule>
    <cfRule type="expression" dxfId="38" priority="8">
      <formula>M4&gt;N4</formula>
    </cfRule>
    <cfRule type="expression" dxfId="37" priority="9">
      <formula>M4&lt;N4</formula>
    </cfRule>
  </conditionalFormatting>
  <conditionalFormatting sqref="P2:AV2">
    <cfRule type="expression" dxfId="36" priority="1">
      <formula>O4&lt;P4</formula>
    </cfRule>
    <cfRule type="expression" dxfId="35" priority="2">
      <formula>O4&gt;P4</formula>
    </cfRule>
    <cfRule type="expression" dxfId="34" priority="3">
      <formula>O4=P4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54"/>
  <sheetViews>
    <sheetView topLeftCell="A9" workbookViewId="0">
      <selection activeCell="C24" sqref="C24:C35"/>
    </sheetView>
  </sheetViews>
  <sheetFormatPr defaultRowHeight="15" x14ac:dyDescent="0.25"/>
  <cols>
    <col min="4" max="4" width="9.28515625" style="10" bestFit="1" customWidth="1"/>
    <col min="7" max="7" width="11.7109375" style="1" customWidth="1"/>
    <col min="8" max="8" width="14.42578125" customWidth="1"/>
    <col min="9" max="9" width="12" customWidth="1"/>
    <col min="10" max="10" width="10.7109375" bestFit="1" customWidth="1"/>
    <col min="12" max="12" width="11.140625" customWidth="1"/>
    <col min="13" max="13" width="11.140625" bestFit="1" customWidth="1"/>
    <col min="14" max="14" width="13" customWidth="1"/>
    <col min="16" max="16" width="10.7109375" bestFit="1" customWidth="1"/>
    <col min="17" max="17" width="10.7109375" customWidth="1"/>
  </cols>
  <sheetData>
    <row r="1" spans="1:48" ht="21" customHeight="1" x14ac:dyDescent="0.35">
      <c r="A1" s="191" t="s">
        <v>218</v>
      </c>
      <c r="B1" s="154"/>
      <c r="C1" s="154"/>
      <c r="D1" s="155"/>
      <c r="E1" s="154"/>
      <c r="F1" s="154"/>
      <c r="G1" s="156"/>
      <c r="H1" s="154"/>
      <c r="I1" s="154"/>
      <c r="J1" s="154"/>
      <c r="K1" s="154"/>
      <c r="L1" s="154"/>
      <c r="M1" s="154"/>
      <c r="N1" s="154"/>
      <c r="O1" s="154"/>
      <c r="P1" s="192"/>
      <c r="Q1" s="183"/>
      <c r="R1" s="170"/>
      <c r="S1" s="158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</row>
    <row r="2" spans="1:48" ht="63" customHeight="1" x14ac:dyDescent="0.25">
      <c r="A2" s="123" t="s">
        <v>164</v>
      </c>
      <c r="B2" s="124" t="s">
        <v>165</v>
      </c>
      <c r="C2" s="123" t="s">
        <v>166</v>
      </c>
      <c r="D2" s="125" t="s">
        <v>167</v>
      </c>
      <c r="E2" s="123" t="s">
        <v>168</v>
      </c>
      <c r="F2" s="123" t="s">
        <v>169</v>
      </c>
      <c r="G2" s="126" t="s">
        <v>170</v>
      </c>
      <c r="H2" s="127" t="s">
        <v>171</v>
      </c>
      <c r="I2" s="123" t="s">
        <v>172</v>
      </c>
      <c r="J2" s="128" t="s">
        <v>173</v>
      </c>
      <c r="K2" s="129" t="s">
        <v>174</v>
      </c>
      <c r="L2" s="38" t="s">
        <v>175</v>
      </c>
      <c r="M2" s="130" t="s">
        <v>176</v>
      </c>
      <c r="N2" s="129" t="s">
        <v>177</v>
      </c>
      <c r="O2" s="131" t="s">
        <v>178</v>
      </c>
      <c r="P2" s="193" t="s">
        <v>234</v>
      </c>
      <c r="Q2" s="190">
        <v>45942</v>
      </c>
      <c r="R2" s="171" t="s">
        <v>183</v>
      </c>
      <c r="S2" s="159" t="s">
        <v>184</v>
      </c>
      <c r="T2" s="98" t="s">
        <v>185</v>
      </c>
      <c r="U2" s="98" t="s">
        <v>186</v>
      </c>
      <c r="V2" t="s">
        <v>187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 t="s">
        <v>196</v>
      </c>
      <c r="AF2" t="s">
        <v>197</v>
      </c>
      <c r="AG2" t="s">
        <v>198</v>
      </c>
      <c r="AH2" t="s">
        <v>199</v>
      </c>
      <c r="AI2" t="s">
        <v>200</v>
      </c>
      <c r="AJ2" t="s">
        <v>201</v>
      </c>
      <c r="AK2" t="s">
        <v>202</v>
      </c>
      <c r="AL2" t="s">
        <v>203</v>
      </c>
      <c r="AM2" t="s">
        <v>204</v>
      </c>
      <c r="AN2" t="s">
        <v>205</v>
      </c>
      <c r="AO2" t="s">
        <v>206</v>
      </c>
      <c r="AP2" t="s">
        <v>207</v>
      </c>
      <c r="AQ2" s="16">
        <v>45753</v>
      </c>
      <c r="AR2" s="16">
        <v>45746</v>
      </c>
      <c r="AS2" s="16">
        <v>45740</v>
      </c>
      <c r="AT2" s="16">
        <v>45732</v>
      </c>
      <c r="AU2" s="3" t="s">
        <v>11</v>
      </c>
    </row>
    <row r="3" spans="1:48" ht="15.75" customHeight="1" x14ac:dyDescent="0.25">
      <c r="A3" s="194" t="s">
        <v>219</v>
      </c>
      <c r="B3" s="195">
        <v>1050</v>
      </c>
      <c r="C3" s="4">
        <v>13.877599999999999</v>
      </c>
      <c r="D3" s="196">
        <v>11.64</v>
      </c>
      <c r="E3" s="4">
        <f t="shared" ref="E3:E19" si="0">D3-C3</f>
        <v>-2.2375999999999987</v>
      </c>
      <c r="F3" s="6">
        <f t="shared" ref="F3:F19" si="1">(D3/C3)/100</f>
        <v>8.3876174554678058E-3</v>
      </c>
      <c r="G3" s="7">
        <v>12537</v>
      </c>
      <c r="H3" s="8">
        <v>14571.48</v>
      </c>
      <c r="I3" s="7">
        <v>-2034.48</v>
      </c>
      <c r="J3" s="9">
        <v>45898.701793981483</v>
      </c>
      <c r="K3" t="s">
        <v>220</v>
      </c>
      <c r="L3" s="1">
        <f t="shared" ref="L3:L15" si="2">D3*(P3)/12</f>
        <v>9.8062150000000015E-2</v>
      </c>
      <c r="M3" s="1">
        <v>148.3545</v>
      </c>
      <c r="N3" s="107">
        <f t="shared" ref="N3:N19" si="3">(($B3*$D3)*(P3)/12)</f>
        <v>102.96525750000001</v>
      </c>
      <c r="O3" s="10">
        <v>14.2</v>
      </c>
      <c r="P3" s="197">
        <v>0.101095</v>
      </c>
      <c r="Q3" s="184">
        <v>0.10535600000000001</v>
      </c>
      <c r="R3" s="172">
        <v>9.6541000000000002E-2</v>
      </c>
      <c r="S3" s="161">
        <v>0.10041799999999999</v>
      </c>
      <c r="T3" s="161">
        <v>0.103004</v>
      </c>
      <c r="U3" s="161">
        <v>0.102564</v>
      </c>
      <c r="V3" s="63">
        <v>0.1011</v>
      </c>
      <c r="W3" s="63">
        <v>0.10150000000000001</v>
      </c>
      <c r="X3" s="132">
        <v>10.14</v>
      </c>
      <c r="Y3" s="132">
        <v>10.33</v>
      </c>
      <c r="Z3" s="132">
        <v>10.199999999999999</v>
      </c>
      <c r="AA3" s="132">
        <v>10.75</v>
      </c>
      <c r="AB3" s="132">
        <v>9.93</v>
      </c>
      <c r="AC3" s="132">
        <v>10.57</v>
      </c>
      <c r="AD3" s="132">
        <v>10.67</v>
      </c>
      <c r="AE3" s="132">
        <v>10.85</v>
      </c>
      <c r="AF3" s="132">
        <v>11.17</v>
      </c>
      <c r="AG3" s="132">
        <v>11.73</v>
      </c>
      <c r="AH3" s="132">
        <v>11.4</v>
      </c>
      <c r="AI3" s="132">
        <v>12.11</v>
      </c>
      <c r="AJ3" s="132">
        <v>12.7</v>
      </c>
      <c r="AK3" s="132">
        <v>13.45</v>
      </c>
      <c r="AL3" s="132">
        <v>11.55</v>
      </c>
      <c r="AM3" s="132">
        <v>10.83</v>
      </c>
      <c r="AN3" s="96">
        <v>15.4</v>
      </c>
      <c r="AO3" s="96">
        <v>16.03</v>
      </c>
      <c r="AP3" s="96">
        <v>16.48</v>
      </c>
      <c r="AQ3" s="96">
        <v>14.68</v>
      </c>
      <c r="AR3" s="96">
        <v>14.63</v>
      </c>
      <c r="AS3" s="132">
        <v>14.02</v>
      </c>
      <c r="AT3" s="132">
        <v>13.86</v>
      </c>
      <c r="AU3" s="11" t="s">
        <v>218</v>
      </c>
    </row>
    <row r="4" spans="1:48" ht="15.75" customHeight="1" x14ac:dyDescent="0.25">
      <c r="A4" s="194" t="s">
        <v>221</v>
      </c>
      <c r="B4" s="195">
        <v>1625</v>
      </c>
      <c r="C4" s="4">
        <v>6.6412000000000004</v>
      </c>
      <c r="D4" s="196">
        <v>5.57</v>
      </c>
      <c r="E4" s="4">
        <f t="shared" si="0"/>
        <v>-1.0712000000000002</v>
      </c>
      <c r="F4" s="6">
        <f t="shared" si="1"/>
        <v>8.3870384870204165E-3</v>
      </c>
      <c r="G4" s="7">
        <v>9652.5</v>
      </c>
      <c r="H4" s="8">
        <v>10791.95</v>
      </c>
      <c r="I4" s="7">
        <v>-1139.450000000001</v>
      </c>
      <c r="J4" s="9">
        <v>45869.701793981483</v>
      </c>
      <c r="K4" t="s">
        <v>209</v>
      </c>
      <c r="L4" s="1">
        <f t="shared" si="2"/>
        <v>7.6947229166666672E-2</v>
      </c>
      <c r="M4" s="1">
        <v>124.9194375</v>
      </c>
      <c r="N4" s="107">
        <f t="shared" si="3"/>
        <v>125.03924739583334</v>
      </c>
      <c r="O4" s="10">
        <v>15.53</v>
      </c>
      <c r="P4" s="198">
        <v>0.16577500000000001</v>
      </c>
      <c r="Q4" s="185">
        <v>0.16489400000000001</v>
      </c>
      <c r="R4" s="173">
        <v>0.16117899999999999</v>
      </c>
      <c r="S4" s="160">
        <v>0.16006899999999999</v>
      </c>
      <c r="T4" s="160">
        <v>0.15709500000000001</v>
      </c>
      <c r="U4" s="160">
        <v>0.15789500000000001</v>
      </c>
      <c r="V4" s="133">
        <v>0.15790000000000001</v>
      </c>
      <c r="W4" s="133">
        <v>0.15659999999999999</v>
      </c>
      <c r="X4" s="96">
        <v>15.79</v>
      </c>
      <c r="Y4" s="96">
        <v>15.55</v>
      </c>
      <c r="Z4" s="96">
        <v>15.63</v>
      </c>
      <c r="AA4" s="96">
        <v>15.63</v>
      </c>
      <c r="AB4" s="96">
        <v>15.63</v>
      </c>
      <c r="AC4" s="96">
        <v>15.6</v>
      </c>
      <c r="AD4" s="96">
        <v>15.58</v>
      </c>
      <c r="AE4" s="96">
        <v>15.66</v>
      </c>
      <c r="AF4" s="96">
        <v>15.87</v>
      </c>
      <c r="AG4" s="96">
        <v>15.82</v>
      </c>
      <c r="AH4" s="96">
        <v>15.76</v>
      </c>
      <c r="AI4" s="96">
        <v>15.92</v>
      </c>
      <c r="AJ4" s="96">
        <v>15.9</v>
      </c>
      <c r="AK4" s="96">
        <v>16.23</v>
      </c>
      <c r="AL4" s="96">
        <v>16.29</v>
      </c>
      <c r="AM4" s="96">
        <v>16.399999999999999</v>
      </c>
      <c r="AN4" s="96">
        <v>16.79</v>
      </c>
      <c r="AO4" s="96">
        <v>16.88</v>
      </c>
      <c r="AP4" s="96">
        <v>17.350000000000001</v>
      </c>
      <c r="AQ4" s="96">
        <v>16.059999999999999</v>
      </c>
      <c r="AR4" s="96">
        <v>15.74</v>
      </c>
      <c r="AS4" s="132">
        <v>15.5</v>
      </c>
      <c r="AT4" s="96">
        <v>15.68</v>
      </c>
      <c r="AU4" s="11" t="s">
        <v>218</v>
      </c>
    </row>
    <row r="5" spans="1:48" ht="15.75" customHeight="1" x14ac:dyDescent="0.25">
      <c r="A5" s="194" t="s">
        <v>208</v>
      </c>
      <c r="B5" s="195">
        <v>736</v>
      </c>
      <c r="C5" s="4">
        <v>10.37</v>
      </c>
      <c r="D5" s="196">
        <v>9.99</v>
      </c>
      <c r="E5" s="4">
        <f t="shared" si="0"/>
        <v>-0.37999999999999901</v>
      </c>
      <c r="F5" s="6">
        <f t="shared" si="1"/>
        <v>9.633558341369336E-3</v>
      </c>
      <c r="G5" s="7">
        <v>7183.36</v>
      </c>
      <c r="H5" s="8">
        <v>7632.32</v>
      </c>
      <c r="I5" s="7">
        <v>-448.96</v>
      </c>
      <c r="J5" s="9">
        <v>45880.701793981483</v>
      </c>
      <c r="K5" t="s">
        <v>209</v>
      </c>
      <c r="L5" s="1">
        <f t="shared" si="2"/>
        <v>0.12084653250000001</v>
      </c>
      <c r="M5" s="1">
        <v>82.668501333333339</v>
      </c>
      <c r="N5" s="107">
        <f t="shared" si="3"/>
        <v>88.943047920000012</v>
      </c>
      <c r="O5" s="10">
        <v>13.81</v>
      </c>
      <c r="P5" s="198">
        <v>0.14516100000000001</v>
      </c>
      <c r="Q5" s="185">
        <v>0.14501500000000001</v>
      </c>
      <c r="R5" s="173">
        <v>0.14385600000000001</v>
      </c>
      <c r="S5" s="160">
        <v>0.14754100000000001</v>
      </c>
      <c r="T5" s="160">
        <v>0.14257400000000001</v>
      </c>
      <c r="U5" s="160">
        <v>0.141454</v>
      </c>
      <c r="V5" s="133">
        <v>0.14119999999999999</v>
      </c>
      <c r="W5" s="133">
        <v>0.1489</v>
      </c>
      <c r="X5" s="96">
        <v>14.57</v>
      </c>
      <c r="Y5" s="96">
        <v>14.98</v>
      </c>
      <c r="Z5" s="96">
        <v>15.3</v>
      </c>
      <c r="AA5" s="96">
        <v>15.27</v>
      </c>
      <c r="AB5" s="96">
        <v>14.83</v>
      </c>
      <c r="AC5" s="96">
        <v>15.52</v>
      </c>
      <c r="AD5" s="96">
        <v>15.24</v>
      </c>
      <c r="AE5" s="96">
        <v>15.29</v>
      </c>
      <c r="AF5" s="96">
        <v>15.45</v>
      </c>
      <c r="AG5" s="96">
        <v>15.55</v>
      </c>
      <c r="AH5" s="96">
        <v>15.32</v>
      </c>
      <c r="AI5" s="96">
        <v>15.93</v>
      </c>
      <c r="AJ5" s="96">
        <v>16.309999999999999</v>
      </c>
      <c r="AK5" s="96">
        <v>16.350000000000001</v>
      </c>
      <c r="AL5" s="96">
        <v>16.22</v>
      </c>
      <c r="AM5" s="96">
        <v>16.350000000000001</v>
      </c>
      <c r="AN5" s="96">
        <v>16.510000000000002</v>
      </c>
      <c r="AO5" s="96">
        <v>17.350000000000001</v>
      </c>
      <c r="AP5" s="96">
        <v>17.73</v>
      </c>
      <c r="AQ5" s="96">
        <v>15.42</v>
      </c>
      <c r="AR5" s="96">
        <v>15.13</v>
      </c>
      <c r="AS5" s="96">
        <v>14.17</v>
      </c>
      <c r="AT5" s="96">
        <v>14.06</v>
      </c>
      <c r="AU5" s="11" t="s">
        <v>218</v>
      </c>
    </row>
    <row r="6" spans="1:48" ht="15.75" customHeight="1" x14ac:dyDescent="0.25">
      <c r="A6" s="194" t="s">
        <v>222</v>
      </c>
      <c r="B6" s="195">
        <v>440</v>
      </c>
      <c r="C6" s="4">
        <v>28.001799999999999</v>
      </c>
      <c r="D6" s="196">
        <v>17.54</v>
      </c>
      <c r="E6" s="4">
        <f t="shared" si="0"/>
        <v>-10.4618</v>
      </c>
      <c r="F6" s="6">
        <f t="shared" si="1"/>
        <v>6.2638830360905373E-3</v>
      </c>
      <c r="G6" s="7">
        <v>8597.6</v>
      </c>
      <c r="H6" s="8">
        <v>12320.791999999999</v>
      </c>
      <c r="I6" s="7">
        <v>-3723.1919999999991</v>
      </c>
      <c r="J6" s="9">
        <v>45876.701793981483</v>
      </c>
      <c r="K6" t="s">
        <v>209</v>
      </c>
      <c r="L6" s="1">
        <f t="shared" si="2"/>
        <v>0.84064250333333324</v>
      </c>
      <c r="M6" s="1">
        <v>408.88752666666659</v>
      </c>
      <c r="N6" s="107">
        <f t="shared" si="3"/>
        <v>369.88270146666667</v>
      </c>
      <c r="O6" s="10">
        <v>57.07</v>
      </c>
      <c r="P6" s="198">
        <v>0.57512600000000003</v>
      </c>
      <c r="Q6" s="184">
        <v>0.53357599999999994</v>
      </c>
      <c r="R6" s="172">
        <v>0.51304300000000003</v>
      </c>
      <c r="S6" s="161">
        <v>0.56388300000000002</v>
      </c>
      <c r="T6" s="161">
        <v>0.52376500000000004</v>
      </c>
      <c r="U6" s="161">
        <v>0.52636499999999997</v>
      </c>
      <c r="V6" s="63">
        <v>0.55969999999999998</v>
      </c>
      <c r="W6" s="63">
        <v>0.54069999999999996</v>
      </c>
      <c r="X6" s="132">
        <v>51.89</v>
      </c>
      <c r="Y6" s="132">
        <v>51.21</v>
      </c>
      <c r="Z6" s="132">
        <v>51.36</v>
      </c>
      <c r="AA6" s="132">
        <v>51.67</v>
      </c>
      <c r="AB6" s="132">
        <v>49.83</v>
      </c>
      <c r="AC6" s="132">
        <v>48.92</v>
      </c>
      <c r="AD6" s="132">
        <v>51.27</v>
      </c>
      <c r="AE6" s="132">
        <v>52.94</v>
      </c>
      <c r="AF6" s="132">
        <v>55.31</v>
      </c>
      <c r="AG6" s="96">
        <v>57.33</v>
      </c>
      <c r="AH6" s="132">
        <v>55.67</v>
      </c>
      <c r="AI6" s="96">
        <v>58.32</v>
      </c>
      <c r="AJ6" s="132">
        <v>56.87</v>
      </c>
      <c r="AK6" s="132">
        <v>54.14</v>
      </c>
      <c r="AL6" s="96">
        <v>59.28</v>
      </c>
      <c r="AM6" s="96">
        <v>62.12</v>
      </c>
      <c r="AN6" s="96">
        <v>67.78</v>
      </c>
      <c r="AO6" s="96">
        <v>75.319999999999993</v>
      </c>
      <c r="AP6" s="96">
        <v>79.84</v>
      </c>
      <c r="AQ6" s="96">
        <v>77.52</v>
      </c>
      <c r="AR6" s="96">
        <v>74.83</v>
      </c>
      <c r="AS6" s="96">
        <v>74.83</v>
      </c>
      <c r="AT6" s="96">
        <v>74.83</v>
      </c>
      <c r="AU6" s="11" t="s">
        <v>218</v>
      </c>
    </row>
    <row r="7" spans="1:48" ht="15.75" customHeight="1" x14ac:dyDescent="0.25">
      <c r="A7" s="194" t="s">
        <v>223</v>
      </c>
      <c r="B7" s="195">
        <v>568</v>
      </c>
      <c r="C7" s="4">
        <v>5.7</v>
      </c>
      <c r="D7" s="196">
        <v>5.26</v>
      </c>
      <c r="E7" s="4">
        <f t="shared" si="0"/>
        <v>-0.44000000000000039</v>
      </c>
      <c r="F7" s="6">
        <f t="shared" si="1"/>
        <v>9.2280701754385956E-3</v>
      </c>
      <c r="G7" s="7">
        <v>3294.4</v>
      </c>
      <c r="H7" s="8">
        <v>3237.6</v>
      </c>
      <c r="I7" s="7">
        <v>56.800000000000182</v>
      </c>
      <c r="J7" s="9">
        <v>45852.701793981483</v>
      </c>
      <c r="K7" t="s">
        <v>220</v>
      </c>
      <c r="L7" s="1">
        <f t="shared" si="2"/>
        <v>5.4156959999999997E-2</v>
      </c>
      <c r="M7" s="1">
        <v>28.304386666666669</v>
      </c>
      <c r="N7" s="107">
        <f t="shared" si="3"/>
        <v>30.761153279999998</v>
      </c>
      <c r="O7" s="10">
        <v>10.31</v>
      </c>
      <c r="P7" s="198">
        <v>0.123552</v>
      </c>
      <c r="Q7" s="185">
        <v>0.12623300000000001</v>
      </c>
      <c r="R7" s="173">
        <v>0.118959</v>
      </c>
      <c r="S7" s="160">
        <v>0.114082</v>
      </c>
      <c r="T7" s="160">
        <v>0.110919</v>
      </c>
      <c r="U7" s="160">
        <v>0.108844</v>
      </c>
      <c r="V7" s="133">
        <v>0.1085</v>
      </c>
      <c r="W7" s="133">
        <v>0.11210000000000001</v>
      </c>
      <c r="X7" s="96">
        <v>11.09</v>
      </c>
      <c r="Y7" s="96">
        <v>11.49</v>
      </c>
      <c r="Z7" s="96">
        <v>11.98</v>
      </c>
      <c r="AA7" s="96">
        <v>12.36</v>
      </c>
      <c r="AB7" s="96">
        <v>13.03</v>
      </c>
      <c r="AC7" s="96">
        <v>12.88</v>
      </c>
      <c r="AD7" s="96">
        <v>12.55</v>
      </c>
      <c r="AE7" s="96">
        <v>12.24</v>
      </c>
      <c r="AF7" s="96">
        <v>12.17</v>
      </c>
      <c r="AG7" s="96">
        <v>12.5</v>
      </c>
      <c r="AH7" s="96">
        <v>11.96</v>
      </c>
      <c r="AI7" s="96">
        <v>12.6</v>
      </c>
      <c r="AJ7" s="96">
        <v>12.7</v>
      </c>
      <c r="AK7" s="96">
        <v>12.6</v>
      </c>
      <c r="AL7" s="96">
        <v>12.28</v>
      </c>
      <c r="AM7" s="96">
        <v>12.77</v>
      </c>
      <c r="AN7" s="96">
        <v>13.53</v>
      </c>
      <c r="AO7" s="96">
        <v>14.48</v>
      </c>
      <c r="AP7" s="96">
        <v>14.41</v>
      </c>
      <c r="AQ7" s="96">
        <v>11.83</v>
      </c>
      <c r="AR7" s="96">
        <v>11.27</v>
      </c>
      <c r="AS7" s="96">
        <v>10.77</v>
      </c>
      <c r="AT7" s="96">
        <v>10.65</v>
      </c>
      <c r="AU7" s="11" t="s">
        <v>218</v>
      </c>
    </row>
    <row r="8" spans="1:48" ht="15.75" customHeight="1" x14ac:dyDescent="0.25">
      <c r="A8" s="194" t="s">
        <v>224</v>
      </c>
      <c r="B8" s="195">
        <v>2425</v>
      </c>
      <c r="C8" s="4">
        <v>3.3992800000000001</v>
      </c>
      <c r="D8" s="196">
        <v>2.41</v>
      </c>
      <c r="E8" s="4">
        <f t="shared" si="0"/>
        <v>-0.98927999999999994</v>
      </c>
      <c r="F8" s="6">
        <f t="shared" si="1"/>
        <v>7.0897366501141423E-3</v>
      </c>
      <c r="G8" s="7">
        <v>6959.75</v>
      </c>
      <c r="H8" s="8">
        <v>8243.2540000000008</v>
      </c>
      <c r="I8" s="7">
        <v>-1283.504000000001</v>
      </c>
      <c r="J8" s="9">
        <v>45869.701793981483</v>
      </c>
      <c r="K8" t="s">
        <v>220</v>
      </c>
      <c r="L8" s="1">
        <f t="shared" si="2"/>
        <v>4.5833380000000007E-2</v>
      </c>
      <c r="M8" s="1">
        <v>98.596458333333331</v>
      </c>
      <c r="N8" s="107">
        <f t="shared" si="3"/>
        <v>111.14594649999999</v>
      </c>
      <c r="O8" s="10">
        <v>17</v>
      </c>
      <c r="P8" s="198">
        <v>0.228216</v>
      </c>
      <c r="Q8" s="185">
        <v>0.238095</v>
      </c>
      <c r="R8" s="173">
        <v>0.22449</v>
      </c>
      <c r="S8" s="160">
        <v>0.220884</v>
      </c>
      <c r="T8" s="160">
        <v>0.210728</v>
      </c>
      <c r="U8" s="160">
        <v>0.20202000000000001</v>
      </c>
      <c r="V8" s="133">
        <v>0.2069</v>
      </c>
      <c r="W8" s="133">
        <v>0.20910000000000001</v>
      </c>
      <c r="X8" s="96">
        <v>20.55</v>
      </c>
      <c r="Y8" s="96">
        <v>20.41</v>
      </c>
      <c r="Z8" s="96">
        <v>21.51</v>
      </c>
      <c r="AA8" s="96">
        <v>21.58</v>
      </c>
      <c r="AB8" s="96">
        <v>22.22</v>
      </c>
      <c r="AC8" s="96">
        <v>22.56</v>
      </c>
      <c r="AD8" s="96">
        <v>21.43</v>
      </c>
      <c r="AE8" s="96">
        <v>21.66</v>
      </c>
      <c r="AF8" s="96">
        <v>20.13</v>
      </c>
      <c r="AG8" s="96">
        <v>20.55</v>
      </c>
      <c r="AH8" s="96">
        <v>20.13</v>
      </c>
      <c r="AI8" s="96">
        <v>20.2</v>
      </c>
      <c r="AJ8" s="96">
        <v>20.34</v>
      </c>
      <c r="AK8" s="96">
        <v>20.13</v>
      </c>
      <c r="AL8" s="96">
        <v>19.8</v>
      </c>
      <c r="AM8" s="96">
        <v>20.34</v>
      </c>
      <c r="AN8" s="96">
        <v>22.39</v>
      </c>
      <c r="AO8" s="96">
        <v>22.39</v>
      </c>
      <c r="AP8" s="96">
        <v>24.49</v>
      </c>
      <c r="AQ8" s="96">
        <v>19.29</v>
      </c>
      <c r="AR8" s="96">
        <v>17.440000000000001</v>
      </c>
      <c r="AS8" s="132">
        <v>16.670000000000002</v>
      </c>
      <c r="AT8" s="132">
        <v>16.670000000000002</v>
      </c>
      <c r="AU8" s="11" t="s">
        <v>218</v>
      </c>
    </row>
    <row r="9" spans="1:48" ht="15.75" customHeight="1" x14ac:dyDescent="0.25">
      <c r="A9" s="194" t="s">
        <v>225</v>
      </c>
      <c r="B9" s="195">
        <v>260</v>
      </c>
      <c r="C9" s="4">
        <v>12.5</v>
      </c>
      <c r="D9" s="196">
        <v>11.68</v>
      </c>
      <c r="E9" s="4">
        <f t="shared" si="0"/>
        <v>-0.82000000000000028</v>
      </c>
      <c r="F9" s="6">
        <f t="shared" si="1"/>
        <v>9.3439999999999999E-3</v>
      </c>
      <c r="G9" s="7">
        <v>3242.2</v>
      </c>
      <c r="H9" s="8">
        <v>3250</v>
      </c>
      <c r="I9" s="7">
        <v>-7.7999999999997272</v>
      </c>
      <c r="J9" s="9">
        <v>45898.701793981483</v>
      </c>
      <c r="K9" t="s">
        <v>209</v>
      </c>
      <c r="L9" s="1">
        <f t="shared" si="2"/>
        <v>0.10897342666666666</v>
      </c>
      <c r="M9" s="1">
        <v>34.448375000000013</v>
      </c>
      <c r="N9" s="107">
        <f t="shared" si="3"/>
        <v>28.333090933333335</v>
      </c>
      <c r="O9" s="10">
        <v>12.75</v>
      </c>
      <c r="P9" s="197">
        <v>0.111959</v>
      </c>
      <c r="Q9" s="184">
        <v>0.10927199999999999</v>
      </c>
      <c r="R9" s="172">
        <v>0.107143</v>
      </c>
      <c r="S9" s="161">
        <v>0.107056</v>
      </c>
      <c r="T9" s="161">
        <v>0.10696899999999999</v>
      </c>
      <c r="U9" s="161">
        <v>0.10443</v>
      </c>
      <c r="V9" s="63">
        <v>0.1056</v>
      </c>
      <c r="W9" s="63">
        <v>0.10580000000000001</v>
      </c>
      <c r="X9" s="132">
        <v>10.76</v>
      </c>
      <c r="Y9" s="132">
        <v>10.77</v>
      </c>
      <c r="Z9" s="132">
        <v>10.83</v>
      </c>
      <c r="AA9" s="132">
        <v>10.86</v>
      </c>
      <c r="AB9" s="132">
        <v>10.97</v>
      </c>
      <c r="AC9" s="132">
        <v>10.97</v>
      </c>
      <c r="AD9" s="132">
        <v>10.86</v>
      </c>
      <c r="AE9" s="132">
        <v>10.78</v>
      </c>
      <c r="AF9" s="132">
        <v>10.78</v>
      </c>
      <c r="AG9" s="132">
        <v>10.95</v>
      </c>
      <c r="AH9" s="132">
        <v>10.71</v>
      </c>
      <c r="AI9" s="132">
        <v>10.73</v>
      </c>
      <c r="AJ9" s="132">
        <v>10.78</v>
      </c>
      <c r="AK9" s="132">
        <v>10.99</v>
      </c>
      <c r="AL9" s="132">
        <v>10.91</v>
      </c>
      <c r="AM9" s="132">
        <v>10.95</v>
      </c>
      <c r="AN9" s="132">
        <v>11.15</v>
      </c>
      <c r="AO9" s="132">
        <v>11.38</v>
      </c>
      <c r="AP9" s="132">
        <v>11.71</v>
      </c>
      <c r="AQ9" s="132">
        <v>10.69</v>
      </c>
      <c r="AR9" s="96">
        <v>12.75</v>
      </c>
      <c r="AS9" s="96">
        <v>12.75</v>
      </c>
      <c r="AT9" s="96">
        <v>12.75</v>
      </c>
      <c r="AU9" s="11" t="s">
        <v>218</v>
      </c>
    </row>
    <row r="10" spans="1:48" ht="15.75" customHeight="1" x14ac:dyDescent="0.25">
      <c r="A10" s="194" t="s">
        <v>210</v>
      </c>
      <c r="B10" s="195">
        <v>625</v>
      </c>
      <c r="C10" s="4">
        <v>11.9018</v>
      </c>
      <c r="D10" s="196">
        <v>13.38</v>
      </c>
      <c r="E10" s="4">
        <f t="shared" si="0"/>
        <v>1.4782000000000011</v>
      </c>
      <c r="F10" s="6">
        <f t="shared" si="1"/>
        <v>1.1241997008855803E-2</v>
      </c>
      <c r="G10" s="7">
        <v>7887.4999999999991</v>
      </c>
      <c r="H10" s="8">
        <v>7438.625</v>
      </c>
      <c r="I10" s="7">
        <v>448.87499999999909</v>
      </c>
      <c r="J10" s="9">
        <v>45870.701793981483</v>
      </c>
      <c r="K10" t="s">
        <v>209</v>
      </c>
      <c r="L10" s="1">
        <f t="shared" si="2"/>
        <v>0.17231767499999998</v>
      </c>
      <c r="M10" s="1">
        <v>96.096041666666665</v>
      </c>
      <c r="N10" s="107">
        <f t="shared" si="3"/>
        <v>107.69854687499999</v>
      </c>
      <c r="O10" s="10">
        <v>14.62</v>
      </c>
      <c r="P10" s="198">
        <v>0.15454499999999999</v>
      </c>
      <c r="Q10" s="185">
        <v>0.157165</v>
      </c>
      <c r="R10" s="173">
        <v>0.161137</v>
      </c>
      <c r="S10" s="160">
        <v>0.169435</v>
      </c>
      <c r="T10" s="160">
        <v>0.16491500000000001</v>
      </c>
      <c r="U10" s="160">
        <v>0.16280900000000001</v>
      </c>
      <c r="V10" s="133">
        <v>0.15970000000000001</v>
      </c>
      <c r="W10" s="133">
        <v>0.1633</v>
      </c>
      <c r="X10" s="96">
        <v>16.37</v>
      </c>
      <c r="Y10" s="96">
        <v>16.23</v>
      </c>
      <c r="Z10" s="96">
        <v>16.55</v>
      </c>
      <c r="AA10" s="96">
        <v>16.399999999999999</v>
      </c>
      <c r="AB10" s="96">
        <v>16</v>
      </c>
      <c r="AC10" s="96">
        <v>16.22</v>
      </c>
      <c r="AD10" s="96">
        <v>15.89</v>
      </c>
      <c r="AE10" s="96">
        <v>16.25</v>
      </c>
      <c r="AF10" s="96">
        <v>16.72</v>
      </c>
      <c r="AG10" s="96">
        <v>16.71</v>
      </c>
      <c r="AH10" s="96">
        <v>16.45</v>
      </c>
      <c r="AI10" s="96">
        <v>16.86</v>
      </c>
      <c r="AJ10" s="96">
        <v>17.16</v>
      </c>
      <c r="AK10" s="96">
        <v>17.260000000000002</v>
      </c>
      <c r="AL10" s="96">
        <v>16.43</v>
      </c>
      <c r="AM10" s="96">
        <v>16.73</v>
      </c>
      <c r="AN10" s="96">
        <v>17.03</v>
      </c>
      <c r="AO10" s="96">
        <v>17.600000000000001</v>
      </c>
      <c r="AP10" s="96">
        <v>18.329999999999998</v>
      </c>
      <c r="AQ10" s="96">
        <v>16.059999999999999</v>
      </c>
      <c r="AR10" s="96">
        <v>15.63</v>
      </c>
      <c r="AS10" s="132">
        <v>14.53</v>
      </c>
      <c r="AT10" s="132">
        <v>14.35</v>
      </c>
      <c r="AU10" s="11" t="s">
        <v>218</v>
      </c>
    </row>
    <row r="11" spans="1:48" ht="15.75" customHeight="1" x14ac:dyDescent="0.25">
      <c r="A11" s="194" t="s">
        <v>211</v>
      </c>
      <c r="B11" s="195">
        <v>1142</v>
      </c>
      <c r="C11" s="4">
        <v>10.0969</v>
      </c>
      <c r="D11" s="196">
        <v>6.06</v>
      </c>
      <c r="E11" s="4">
        <f t="shared" si="0"/>
        <v>-4.0369000000000002</v>
      </c>
      <c r="F11" s="6">
        <f t="shared" si="1"/>
        <v>6.00184214957066E-3</v>
      </c>
      <c r="G11" s="7">
        <v>8622.1</v>
      </c>
      <c r="H11" s="8">
        <v>11530.659799999999</v>
      </c>
      <c r="I11" s="7">
        <v>-2908.5597999999991</v>
      </c>
      <c r="J11" s="9">
        <v>45898.701793981483</v>
      </c>
      <c r="K11" t="s">
        <v>209</v>
      </c>
      <c r="L11" s="1">
        <f t="shared" si="2"/>
        <v>0.13953958</v>
      </c>
      <c r="M11" s="1">
        <v>139.0313625</v>
      </c>
      <c r="N11" s="107">
        <f t="shared" si="3"/>
        <v>159.35420035999999</v>
      </c>
      <c r="O11" s="10">
        <v>19.350000000000001</v>
      </c>
      <c r="P11" s="198">
        <v>0.27631600000000001</v>
      </c>
      <c r="Q11" s="185">
        <v>0.253776</v>
      </c>
      <c r="R11" s="173">
        <v>0.24383199999999999</v>
      </c>
      <c r="S11" s="160">
        <v>0.25493199999999999</v>
      </c>
      <c r="T11" s="160">
        <v>0.24</v>
      </c>
      <c r="U11" s="160">
        <v>0.239316</v>
      </c>
      <c r="V11" s="133">
        <v>0.21820000000000001</v>
      </c>
      <c r="W11" s="133">
        <v>0.22889999999999999</v>
      </c>
      <c r="X11" s="96">
        <v>23.86</v>
      </c>
      <c r="Y11" s="96">
        <v>25.23</v>
      </c>
      <c r="Z11" s="96">
        <v>26.21</v>
      </c>
      <c r="AA11" s="96">
        <v>24.42</v>
      </c>
      <c r="AB11" s="96">
        <v>24.31</v>
      </c>
      <c r="AC11" s="96">
        <v>22.67</v>
      </c>
      <c r="AD11" s="96">
        <v>21.93</v>
      </c>
      <c r="AE11" s="96">
        <v>21.65</v>
      </c>
      <c r="AF11" s="96">
        <v>22.31</v>
      </c>
      <c r="AG11" s="96">
        <v>22.31</v>
      </c>
      <c r="AH11" s="96">
        <v>22.16</v>
      </c>
      <c r="AI11" s="96">
        <v>21.65</v>
      </c>
      <c r="AJ11" s="96">
        <v>21.37</v>
      </c>
      <c r="AK11" s="96">
        <v>22.58</v>
      </c>
      <c r="AL11" s="96">
        <v>21.03</v>
      </c>
      <c r="AM11" s="96">
        <v>21.62</v>
      </c>
      <c r="AN11" s="96">
        <v>21.76</v>
      </c>
      <c r="AO11" s="96">
        <v>23.05</v>
      </c>
      <c r="AP11" s="96">
        <v>23.08</v>
      </c>
      <c r="AQ11" s="96">
        <v>21.71</v>
      </c>
      <c r="AR11" s="96">
        <v>20.87</v>
      </c>
      <c r="AS11" s="96">
        <v>21.21</v>
      </c>
      <c r="AT11" s="96">
        <v>20.39</v>
      </c>
      <c r="AU11" s="11" t="s">
        <v>218</v>
      </c>
    </row>
    <row r="12" spans="1:48" ht="15.75" customHeight="1" x14ac:dyDescent="0.25">
      <c r="A12" s="194" t="s">
        <v>226</v>
      </c>
      <c r="B12" s="195">
        <v>466</v>
      </c>
      <c r="C12" s="4">
        <v>15.65</v>
      </c>
      <c r="D12" s="196">
        <v>12.21</v>
      </c>
      <c r="E12" s="4">
        <f t="shared" si="0"/>
        <v>-3.4399999999999995</v>
      </c>
      <c r="F12" s="6">
        <f t="shared" si="1"/>
        <v>7.8019169329073493E-3</v>
      </c>
      <c r="G12" s="7">
        <v>6468.08</v>
      </c>
      <c r="H12" s="8">
        <v>7292.9000000000005</v>
      </c>
      <c r="I12" s="7">
        <v>-824.82000000000062</v>
      </c>
      <c r="J12" s="9">
        <v>45898.701805555553</v>
      </c>
      <c r="K12" t="s">
        <v>209</v>
      </c>
      <c r="L12" s="1">
        <f t="shared" si="2"/>
        <v>0.12852653000000003</v>
      </c>
      <c r="M12" s="1">
        <v>82.090715333333335</v>
      </c>
      <c r="N12" s="107">
        <f t="shared" si="3"/>
        <v>59.893362980000013</v>
      </c>
      <c r="O12" s="10">
        <v>15.23</v>
      </c>
      <c r="P12" s="197">
        <v>0.12631600000000001</v>
      </c>
      <c r="Q12" s="184">
        <v>0.12479999999999999</v>
      </c>
      <c r="R12" s="172">
        <v>0.116679</v>
      </c>
      <c r="S12" s="161">
        <v>0.118812</v>
      </c>
      <c r="T12" s="161">
        <v>0.119357</v>
      </c>
      <c r="U12" s="161">
        <v>0.116592</v>
      </c>
      <c r="V12" s="63">
        <v>0.11210000000000001</v>
      </c>
      <c r="W12" s="63">
        <v>0.11260000000000001</v>
      </c>
      <c r="X12" s="132">
        <v>11.7</v>
      </c>
      <c r="Y12" s="132">
        <v>12.01</v>
      </c>
      <c r="Z12" s="132">
        <v>12.73</v>
      </c>
      <c r="AA12" s="132">
        <v>12.01</v>
      </c>
      <c r="AB12" s="132">
        <v>12.05</v>
      </c>
      <c r="AC12" s="132">
        <v>11.61</v>
      </c>
      <c r="AD12" s="132">
        <v>11.24</v>
      </c>
      <c r="AE12" s="132">
        <v>11.35</v>
      </c>
      <c r="AF12" s="132">
        <v>11.62</v>
      </c>
      <c r="AG12" s="132">
        <v>11.66</v>
      </c>
      <c r="AH12" s="132">
        <v>11.86</v>
      </c>
      <c r="AI12" s="132">
        <v>12.17</v>
      </c>
      <c r="AJ12" s="132">
        <v>11.8</v>
      </c>
      <c r="AK12" s="96">
        <v>16.72</v>
      </c>
      <c r="AL12" s="96">
        <v>16.670000000000002</v>
      </c>
      <c r="AM12" s="96">
        <v>17.13</v>
      </c>
      <c r="AN12" s="96">
        <v>17.13</v>
      </c>
      <c r="AO12" s="96">
        <v>17.38</v>
      </c>
      <c r="AP12" s="96">
        <v>17.079999999999998</v>
      </c>
      <c r="AQ12" s="96">
        <v>16.18</v>
      </c>
      <c r="AR12" s="96">
        <v>16.02</v>
      </c>
      <c r="AS12" s="96">
        <v>16.04</v>
      </c>
      <c r="AT12" s="96">
        <v>15.75</v>
      </c>
      <c r="AU12" s="11" t="s">
        <v>218</v>
      </c>
    </row>
    <row r="13" spans="1:48" ht="15.75" customHeight="1" x14ac:dyDescent="0.25">
      <c r="A13" s="194" t="s">
        <v>227</v>
      </c>
      <c r="B13" s="195">
        <v>90</v>
      </c>
      <c r="C13" s="4">
        <v>11.3</v>
      </c>
      <c r="D13" s="196">
        <v>10.39</v>
      </c>
      <c r="E13" s="4">
        <f t="shared" si="0"/>
        <v>-0.91000000000000014</v>
      </c>
      <c r="F13" s="6">
        <f t="shared" si="1"/>
        <v>9.1946902654867265E-3</v>
      </c>
      <c r="G13" s="7">
        <v>989.1</v>
      </c>
      <c r="H13" s="8">
        <v>1017</v>
      </c>
      <c r="I13" s="7">
        <v>-27.900000000000091</v>
      </c>
      <c r="J13" s="9">
        <v>45845.701805555553</v>
      </c>
      <c r="K13" t="s">
        <v>220</v>
      </c>
      <c r="L13" s="1">
        <f t="shared" si="2"/>
        <v>0.11446489833333333</v>
      </c>
      <c r="M13" s="1">
        <v>8.9266275000000004</v>
      </c>
      <c r="N13" s="107">
        <f t="shared" si="3"/>
        <v>10.30184085</v>
      </c>
      <c r="O13" s="10">
        <v>10.83</v>
      </c>
      <c r="P13" s="198">
        <v>0.13220199999999999</v>
      </c>
      <c r="Q13" s="185">
        <v>0.132717</v>
      </c>
      <c r="R13" s="173">
        <v>0.12931699999999999</v>
      </c>
      <c r="S13" s="160">
        <v>0.122782</v>
      </c>
      <c r="T13" s="160">
        <v>0.11976299999999999</v>
      </c>
      <c r="U13" s="160">
        <v>0.118468</v>
      </c>
      <c r="V13" s="133">
        <v>0.1172</v>
      </c>
      <c r="W13" s="133">
        <v>0.12089999999999999</v>
      </c>
      <c r="X13" s="96">
        <v>12</v>
      </c>
      <c r="Y13" s="96">
        <v>12.22</v>
      </c>
      <c r="Z13" s="96">
        <v>12.42</v>
      </c>
      <c r="AA13" s="96">
        <v>12.61</v>
      </c>
      <c r="AB13" s="96">
        <v>12.19</v>
      </c>
      <c r="AC13" s="96">
        <v>12.52</v>
      </c>
      <c r="AD13" s="96">
        <v>12.31</v>
      </c>
      <c r="AE13" s="96">
        <v>12.43</v>
      </c>
      <c r="AF13" s="96">
        <v>12.4</v>
      </c>
      <c r="AG13" s="96">
        <v>12.61</v>
      </c>
      <c r="AH13" s="96">
        <v>12.38</v>
      </c>
      <c r="AI13" s="96">
        <v>12.76</v>
      </c>
      <c r="AJ13" s="96">
        <v>13.02</v>
      </c>
      <c r="AK13" s="96">
        <v>13.05</v>
      </c>
      <c r="AL13" s="96">
        <v>12.76</v>
      </c>
      <c r="AM13" s="96">
        <v>12.78</v>
      </c>
      <c r="AN13" s="96">
        <v>13.17</v>
      </c>
      <c r="AO13" s="96">
        <v>13.88</v>
      </c>
      <c r="AP13" s="96">
        <v>14.2</v>
      </c>
      <c r="AQ13" s="96">
        <v>12.43</v>
      </c>
      <c r="AR13" s="132">
        <v>10.41</v>
      </c>
      <c r="AS13" s="96">
        <v>10.83</v>
      </c>
      <c r="AT13" s="96">
        <v>10.83</v>
      </c>
      <c r="AU13" s="11" t="s">
        <v>218</v>
      </c>
    </row>
    <row r="14" spans="1:48" ht="15.75" customHeight="1" x14ac:dyDescent="0.25">
      <c r="A14" s="194" t="s">
        <v>228</v>
      </c>
      <c r="B14" s="195">
        <v>1385</v>
      </c>
      <c r="C14" s="4">
        <v>9.5274000000000001</v>
      </c>
      <c r="D14" s="196">
        <v>6.95</v>
      </c>
      <c r="E14" s="4">
        <f t="shared" si="0"/>
        <v>-2.5773999999999999</v>
      </c>
      <c r="F14" s="6">
        <f t="shared" si="1"/>
        <v>7.2947498792955059E-3</v>
      </c>
      <c r="G14" s="7">
        <v>11758.65</v>
      </c>
      <c r="H14" s="8">
        <v>13195.449000000001</v>
      </c>
      <c r="I14" s="7">
        <v>-1436.7990000000009</v>
      </c>
      <c r="J14" s="9">
        <v>45930.701805555553</v>
      </c>
      <c r="K14" t="s">
        <v>220</v>
      </c>
      <c r="L14" s="1">
        <f t="shared" si="2"/>
        <v>0.11349639583333333</v>
      </c>
      <c r="M14" s="1">
        <v>157.17395500000001</v>
      </c>
      <c r="N14" s="107">
        <f t="shared" si="3"/>
        <v>157.19250822916666</v>
      </c>
      <c r="O14" s="10">
        <v>16.04</v>
      </c>
      <c r="P14" s="234">
        <v>0.195965</v>
      </c>
      <c r="Q14" s="185">
        <v>0.18915199999999999</v>
      </c>
      <c r="R14" s="173">
        <v>0.176394</v>
      </c>
      <c r="S14" s="160">
        <v>0.17228299999999999</v>
      </c>
      <c r="T14" s="160">
        <v>0.16326499999999999</v>
      </c>
      <c r="U14" s="161">
        <v>0.155695</v>
      </c>
      <c r="V14" s="63">
        <v>0.157</v>
      </c>
      <c r="W14" s="133">
        <v>0.1628</v>
      </c>
      <c r="X14" s="96">
        <v>16.350000000000001</v>
      </c>
      <c r="Y14" s="96">
        <v>16.43</v>
      </c>
      <c r="Z14" s="96">
        <v>16.45</v>
      </c>
      <c r="AA14" s="134">
        <v>16.04</v>
      </c>
      <c r="AB14" s="134">
        <v>16.04</v>
      </c>
      <c r="AC14" s="132">
        <v>15.96</v>
      </c>
      <c r="AD14" s="96">
        <v>16.079999999999998</v>
      </c>
      <c r="AE14" s="132">
        <v>15.93</v>
      </c>
      <c r="AF14" s="96">
        <v>16.079999999999998</v>
      </c>
      <c r="AG14" s="132">
        <v>15.53</v>
      </c>
      <c r="AH14" s="132">
        <v>15.23</v>
      </c>
      <c r="AI14" s="96">
        <v>16.190000000000001</v>
      </c>
      <c r="AJ14" s="96">
        <v>16.22</v>
      </c>
      <c r="AK14" s="96">
        <v>16.41</v>
      </c>
      <c r="AL14" s="132">
        <v>15.91</v>
      </c>
      <c r="AM14" s="132">
        <v>15.49</v>
      </c>
      <c r="AN14" s="132">
        <v>15.93</v>
      </c>
      <c r="AO14" s="96">
        <v>16.690000000000001</v>
      </c>
      <c r="AP14" s="96">
        <v>16.350000000000001</v>
      </c>
      <c r="AQ14" s="132">
        <v>14.99</v>
      </c>
      <c r="AR14" s="132">
        <v>15.13</v>
      </c>
      <c r="AS14" s="132">
        <v>14.82</v>
      </c>
      <c r="AT14" s="132">
        <v>14.62</v>
      </c>
      <c r="AU14" s="11" t="s">
        <v>218</v>
      </c>
    </row>
    <row r="15" spans="1:48" ht="15.75" customHeight="1" x14ac:dyDescent="0.25">
      <c r="A15" s="194" t="s">
        <v>229</v>
      </c>
      <c r="B15" s="195">
        <v>688</v>
      </c>
      <c r="C15" s="4">
        <v>19.151299999999999</v>
      </c>
      <c r="D15" s="196">
        <v>18.95</v>
      </c>
      <c r="E15" s="4">
        <f t="shared" si="0"/>
        <v>-0.20129999999999981</v>
      </c>
      <c r="F15" s="6">
        <f t="shared" si="1"/>
        <v>9.8948896419564208E-3</v>
      </c>
      <c r="G15" s="7">
        <v>13519.2</v>
      </c>
      <c r="H15" s="8">
        <v>13176.0944</v>
      </c>
      <c r="I15" s="7">
        <v>343.10559999999901</v>
      </c>
      <c r="J15" s="9">
        <v>45870.701805555553</v>
      </c>
      <c r="K15" t="s">
        <v>209</v>
      </c>
      <c r="L15" s="1">
        <f t="shared" si="2"/>
        <v>0.21650059166666666</v>
      </c>
      <c r="M15" s="1">
        <v>187.5789</v>
      </c>
      <c r="N15" s="107">
        <f t="shared" si="3"/>
        <v>148.95240706666667</v>
      </c>
      <c r="O15" s="10">
        <v>16.649999999999999</v>
      </c>
      <c r="P15" s="197">
        <v>0.137098</v>
      </c>
      <c r="Q15" s="184">
        <v>0.13411000000000001</v>
      </c>
      <c r="R15" s="172">
        <v>0.13336700000000001</v>
      </c>
      <c r="S15" s="161">
        <v>0.13411000000000001</v>
      </c>
      <c r="T15" s="161">
        <v>0.133907</v>
      </c>
      <c r="U15" s="161">
        <v>0.1333</v>
      </c>
      <c r="V15" s="63">
        <v>0.13250000000000001</v>
      </c>
      <c r="W15" s="63">
        <v>0.1358</v>
      </c>
      <c r="X15" s="132">
        <v>13.7</v>
      </c>
      <c r="Y15" s="132">
        <v>13.82</v>
      </c>
      <c r="Z15" s="132">
        <v>13.71</v>
      </c>
      <c r="AA15" s="132">
        <v>13.78</v>
      </c>
      <c r="AB15" s="132">
        <v>13.85</v>
      </c>
      <c r="AC15" s="132">
        <v>13.99</v>
      </c>
      <c r="AD15" s="132">
        <v>13.93</v>
      </c>
      <c r="AE15" s="132">
        <v>13.89</v>
      </c>
      <c r="AF15" s="132">
        <v>14.05</v>
      </c>
      <c r="AG15" s="132">
        <v>14.2</v>
      </c>
      <c r="AH15" s="132">
        <v>14.07</v>
      </c>
      <c r="AI15" s="132">
        <v>14.03</v>
      </c>
      <c r="AJ15" s="132">
        <v>14.07</v>
      </c>
      <c r="AK15" s="132">
        <v>14.41</v>
      </c>
      <c r="AL15" s="132">
        <v>13.98</v>
      </c>
      <c r="AM15" s="132">
        <v>14.21</v>
      </c>
      <c r="AN15" s="132">
        <v>14.44</v>
      </c>
      <c r="AO15" s="132">
        <v>14.93</v>
      </c>
      <c r="AP15" s="132">
        <v>14.89</v>
      </c>
      <c r="AQ15" s="132">
        <v>13.42</v>
      </c>
      <c r="AR15" s="96">
        <v>16.649999999999999</v>
      </c>
      <c r="AS15" s="96">
        <v>16.649999999999999</v>
      </c>
      <c r="AT15" s="96">
        <v>16.649999999999999</v>
      </c>
      <c r="AU15" s="11" t="s">
        <v>218</v>
      </c>
    </row>
    <row r="16" spans="1:48" ht="15.75" customHeight="1" x14ac:dyDescent="0.25">
      <c r="A16" s="194" t="s">
        <v>212</v>
      </c>
      <c r="B16" s="195">
        <v>304</v>
      </c>
      <c r="C16" s="4">
        <v>38.83</v>
      </c>
      <c r="D16" s="196">
        <v>34.96</v>
      </c>
      <c r="E16" s="4">
        <f t="shared" si="0"/>
        <v>-3.8699999999999974</v>
      </c>
      <c r="F16" s="6">
        <f t="shared" si="1"/>
        <v>9.0033479268606751E-3</v>
      </c>
      <c r="G16" s="7">
        <v>9602.0399999999991</v>
      </c>
      <c r="H16" s="8">
        <v>10717.08</v>
      </c>
      <c r="I16" s="7">
        <v>-1115.0400000000011</v>
      </c>
      <c r="J16" s="9">
        <v>45870.701805555553</v>
      </c>
      <c r="K16" t="s">
        <v>213</v>
      </c>
      <c r="L16" s="1">
        <f>D16*(P16)/52</f>
        <v>0.20419999999999999</v>
      </c>
      <c r="M16" s="1">
        <v>55.371763999999992</v>
      </c>
      <c r="N16" s="107">
        <f t="shared" si="3"/>
        <v>268.99946666666665</v>
      </c>
      <c r="O16" s="157">
        <v>29.33</v>
      </c>
      <c r="P16" s="198">
        <v>0.3037299771167048</v>
      </c>
      <c r="Q16" s="185">
        <v>0.30888242142025613</v>
      </c>
      <c r="R16" s="173">
        <v>0.30365712674467782</v>
      </c>
      <c r="S16" s="160">
        <v>0.29924250989259471</v>
      </c>
      <c r="T16" s="160">
        <v>0.29057971014492751</v>
      </c>
      <c r="U16" s="160">
        <v>0.29325453777965388</v>
      </c>
      <c r="V16" s="133">
        <v>9.8799999999999999E-2</v>
      </c>
      <c r="W16" s="133">
        <v>6.9800000000000001E-2</v>
      </c>
      <c r="X16" s="96">
        <v>8.1999999999999993</v>
      </c>
      <c r="Y16" s="96">
        <v>7.85</v>
      </c>
      <c r="Z16" s="96">
        <v>8.14</v>
      </c>
      <c r="AA16" s="132">
        <v>8.08</v>
      </c>
      <c r="AB16" s="132">
        <v>8</v>
      </c>
      <c r="AC16" s="96">
        <v>32.4</v>
      </c>
      <c r="AD16" s="96">
        <v>8.08</v>
      </c>
      <c r="AE16" s="96">
        <v>7.82</v>
      </c>
      <c r="AF16" s="96">
        <v>8.43</v>
      </c>
      <c r="AG16" s="96">
        <v>7.18</v>
      </c>
      <c r="AH16" s="132">
        <v>5.05</v>
      </c>
      <c r="AI16" s="96">
        <v>7.3</v>
      </c>
      <c r="AJ16" s="96">
        <v>7.54</v>
      </c>
      <c r="AK16" s="132">
        <v>6.11</v>
      </c>
      <c r="AL16" s="96">
        <v>11.39</v>
      </c>
      <c r="AM16" s="96">
        <v>8.17</v>
      </c>
      <c r="AN16" s="96">
        <v>9.17</v>
      </c>
      <c r="AO16" s="96">
        <v>8.3000000000000007</v>
      </c>
      <c r="AP16" s="96">
        <v>7.08</v>
      </c>
      <c r="AQ16" s="96">
        <v>9.1300000000000008</v>
      </c>
      <c r="AR16" s="12">
        <v>7.92</v>
      </c>
      <c r="AS16" s="12">
        <v>9.2899999999999991</v>
      </c>
      <c r="AT16" s="12">
        <v>8.0399999999999991</v>
      </c>
      <c r="AU16" s="11" t="s">
        <v>218</v>
      </c>
    </row>
    <row r="17" spans="1:48" ht="15.95" customHeight="1" x14ac:dyDescent="0.25">
      <c r="A17" s="194" t="s">
        <v>214</v>
      </c>
      <c r="B17" s="195">
        <v>310</v>
      </c>
      <c r="C17" s="4">
        <v>52.6</v>
      </c>
      <c r="D17" s="196">
        <v>54.48</v>
      </c>
      <c r="E17" s="4">
        <f t="shared" si="0"/>
        <v>1.8799999999999955</v>
      </c>
      <c r="F17" s="6">
        <f t="shared" si="1"/>
        <v>1.03574144486692E-2</v>
      </c>
      <c r="G17" s="7">
        <f>B17*D17</f>
        <v>16888.8</v>
      </c>
      <c r="H17" s="8">
        <f>B17*C17</f>
        <v>16306</v>
      </c>
      <c r="I17" s="7">
        <f>G17-H17</f>
        <v>582.79999999999927</v>
      </c>
      <c r="J17" s="9">
        <v>45922</v>
      </c>
      <c r="K17" t="s">
        <v>209</v>
      </c>
      <c r="L17" s="1">
        <f>D17*(P17)/12</f>
        <v>2.7781000000000002</v>
      </c>
      <c r="M17" s="1">
        <f>((B17*D17)*(O17/100)/12)</f>
        <v>192.81379999999999</v>
      </c>
      <c r="N17" s="107">
        <f t="shared" si="3"/>
        <v>861.21100000000013</v>
      </c>
      <c r="O17" s="10">
        <v>13.7</v>
      </c>
      <c r="P17" s="198">
        <v>0.61191629955947147</v>
      </c>
      <c r="Q17" s="185">
        <v>0.13800000000000001</v>
      </c>
      <c r="R17" s="172">
        <v>0.135105</v>
      </c>
      <c r="S17" s="160">
        <v>0.13714199999999999</v>
      </c>
      <c r="T17" s="161">
        <v>0.134687</v>
      </c>
      <c r="U17" s="161">
        <v>0.135986</v>
      </c>
      <c r="V17" s="110">
        <v>0.13700000000000001</v>
      </c>
      <c r="X17" s="108"/>
      <c r="Y17" s="109"/>
      <c r="Z17" s="108"/>
      <c r="AA17" s="108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1" t="s">
        <v>230</v>
      </c>
    </row>
    <row r="18" spans="1:48" ht="15.75" customHeight="1" x14ac:dyDescent="0.25">
      <c r="A18" s="194" t="s">
        <v>231</v>
      </c>
      <c r="B18" s="195">
        <v>579</v>
      </c>
      <c r="C18" s="4">
        <v>16.540700000000001</v>
      </c>
      <c r="D18" s="196">
        <v>15.35</v>
      </c>
      <c r="E18" s="4">
        <f t="shared" si="0"/>
        <v>-1.1907000000000014</v>
      </c>
      <c r="F18" s="6">
        <f t="shared" si="1"/>
        <v>9.2801392927747903E-3</v>
      </c>
      <c r="G18" s="7">
        <v>8754.48</v>
      </c>
      <c r="H18" s="8">
        <v>9577.0653000000002</v>
      </c>
      <c r="I18" s="7">
        <v>-822.58530000000064</v>
      </c>
      <c r="J18" s="9">
        <v>45866.701805555553</v>
      </c>
      <c r="K18" t="s">
        <v>209</v>
      </c>
      <c r="L18" s="1">
        <f>D18*(P18)/12</f>
        <v>0.15626811666666665</v>
      </c>
      <c r="M18" s="1">
        <v>86.596397999999979</v>
      </c>
      <c r="N18" s="107">
        <f t="shared" si="3"/>
        <v>90.479239549999988</v>
      </c>
      <c r="O18" s="10">
        <v>11.87</v>
      </c>
      <c r="P18" s="198">
        <v>0.12216399999999999</v>
      </c>
      <c r="Q18" s="185">
        <v>0.12543499999999999</v>
      </c>
      <c r="R18" s="173">
        <v>0.123696</v>
      </c>
      <c r="S18" s="160">
        <v>0.12577199999999999</v>
      </c>
      <c r="T18" s="160">
        <v>0.12321799999999999</v>
      </c>
      <c r="U18" s="160">
        <v>0.12346</v>
      </c>
      <c r="V18" s="133">
        <v>0.12429999999999999</v>
      </c>
      <c r="W18" s="133">
        <v>0.12470000000000001</v>
      </c>
      <c r="X18" s="96">
        <v>12.5</v>
      </c>
      <c r="Y18" s="96">
        <v>12.52</v>
      </c>
      <c r="Z18" s="96">
        <v>12.83</v>
      </c>
      <c r="AA18" s="96">
        <v>12.89</v>
      </c>
      <c r="AB18" s="96">
        <v>12.77</v>
      </c>
      <c r="AC18" s="96">
        <v>12.66</v>
      </c>
      <c r="AD18" s="96">
        <v>12.67</v>
      </c>
      <c r="AE18" s="96">
        <v>12.74</v>
      </c>
      <c r="AF18" s="96">
        <v>12.81</v>
      </c>
      <c r="AG18" s="96">
        <v>12.89</v>
      </c>
      <c r="AH18" s="96">
        <v>12.92</v>
      </c>
      <c r="AI18" s="96">
        <v>13.1</v>
      </c>
      <c r="AJ18" s="96">
        <v>13.2</v>
      </c>
      <c r="AK18" s="96">
        <v>13.39</v>
      </c>
      <c r="AL18" s="96">
        <v>13.25</v>
      </c>
      <c r="AM18" s="96">
        <v>13.33</v>
      </c>
      <c r="AN18" s="96">
        <v>13.36</v>
      </c>
      <c r="AO18" s="96">
        <v>13.79</v>
      </c>
      <c r="AP18" s="96">
        <v>14.02</v>
      </c>
      <c r="AQ18" s="96">
        <v>13.48</v>
      </c>
      <c r="AR18" s="96">
        <v>12.28</v>
      </c>
      <c r="AS18" s="96">
        <v>12.28</v>
      </c>
      <c r="AT18" s="96">
        <v>12.28</v>
      </c>
      <c r="AU18" s="11" t="s">
        <v>218</v>
      </c>
    </row>
    <row r="19" spans="1:48" ht="15.75" customHeight="1" x14ac:dyDescent="0.25">
      <c r="A19" s="194" t="s">
        <v>232</v>
      </c>
      <c r="B19" s="195">
        <v>552</v>
      </c>
      <c r="C19" s="4">
        <v>22.328800000000001</v>
      </c>
      <c r="D19" s="196">
        <v>17.32</v>
      </c>
      <c r="E19" s="4">
        <f t="shared" si="0"/>
        <v>-5.0088000000000008</v>
      </c>
      <c r="F19" s="6">
        <f t="shared" si="1"/>
        <v>7.7567983948980688E-3</v>
      </c>
      <c r="G19" s="7">
        <v>9571.68</v>
      </c>
      <c r="H19" s="8">
        <v>12325.497600000001</v>
      </c>
      <c r="I19" s="7">
        <v>-2753.8175999999999</v>
      </c>
      <c r="J19" s="9">
        <v>45869.701805555553</v>
      </c>
      <c r="K19" t="s">
        <v>209</v>
      </c>
      <c r="L19" s="1">
        <f>D19*(P19)/12</f>
        <v>0.28952112000000002</v>
      </c>
      <c r="M19" s="1">
        <v>129.93555599999999</v>
      </c>
      <c r="N19" s="107">
        <f t="shared" si="3"/>
        <v>159.81565823999998</v>
      </c>
      <c r="O19" s="10">
        <v>16.29</v>
      </c>
      <c r="P19" s="198">
        <v>0.20059199999999999</v>
      </c>
      <c r="Q19" s="185">
        <v>0.19720799999999999</v>
      </c>
      <c r="R19" s="173">
        <v>0.18760399999999999</v>
      </c>
      <c r="S19" s="160">
        <v>0.190771</v>
      </c>
      <c r="T19" s="160">
        <v>0.18385199999999999</v>
      </c>
      <c r="U19" s="160">
        <v>0.18629100000000001</v>
      </c>
      <c r="V19" s="133">
        <v>0.19239999999999999</v>
      </c>
      <c r="W19" s="133">
        <v>0.19139999999999999</v>
      </c>
      <c r="X19" s="96">
        <v>18.989999999999998</v>
      </c>
      <c r="Y19" s="96">
        <v>19.309999999999999</v>
      </c>
      <c r="Z19" s="96">
        <v>19.98</v>
      </c>
      <c r="AA19" s="96">
        <v>20.010000000000002</v>
      </c>
      <c r="AB19" s="96">
        <v>19.29</v>
      </c>
      <c r="AC19" s="96">
        <v>19.37</v>
      </c>
      <c r="AD19" s="96">
        <v>18.52</v>
      </c>
      <c r="AE19" s="96">
        <v>18.350000000000001</v>
      </c>
      <c r="AF19" s="96">
        <v>19.190000000000001</v>
      </c>
      <c r="AG19" s="96">
        <v>20</v>
      </c>
      <c r="AH19" s="96">
        <v>18.940000000000001</v>
      </c>
      <c r="AI19" s="96">
        <v>19.29</v>
      </c>
      <c r="AJ19" s="96">
        <v>19.260000000000002</v>
      </c>
      <c r="AK19" s="96">
        <v>18.559999999999999</v>
      </c>
      <c r="AL19" s="96">
        <v>20.56</v>
      </c>
      <c r="AM19" s="96">
        <v>20.309999999999999</v>
      </c>
      <c r="AN19" s="96">
        <v>20.75</v>
      </c>
      <c r="AO19" s="96">
        <v>21.94</v>
      </c>
      <c r="AP19" s="96">
        <v>22.22</v>
      </c>
      <c r="AQ19" s="96">
        <v>19.760000000000002</v>
      </c>
      <c r="AR19" s="96">
        <v>16.649999999999999</v>
      </c>
      <c r="AS19" s="96">
        <v>16.649999999999999</v>
      </c>
      <c r="AT19" s="96">
        <v>16.649999999999999</v>
      </c>
      <c r="AU19" s="11" t="s">
        <v>218</v>
      </c>
    </row>
    <row r="20" spans="1:48" ht="15.75" customHeight="1" x14ac:dyDescent="0.25"/>
    <row r="21" spans="1:48" ht="15.75" customHeight="1" x14ac:dyDescent="0.25">
      <c r="L21" s="136">
        <f>AVERAGE(L3:L19)</f>
        <v>0.33284688759803921</v>
      </c>
      <c r="M21" s="1">
        <f>SUM(M3:M19)</f>
        <v>2061.7943054999996</v>
      </c>
      <c r="N21" s="1">
        <f>SUM(N3:N19)</f>
        <v>2880.9686758133334</v>
      </c>
      <c r="O21" s="39">
        <f>AVERAGE(O3:O20)/100</f>
        <v>0.17916470588235295</v>
      </c>
      <c r="P21" s="39">
        <f>AVERAGE(P3:P20)</f>
        <v>0.21833695745153978</v>
      </c>
      <c r="Q21" s="39">
        <f>AVERAGE(P3:P20)</f>
        <v>0.21833695745153978</v>
      </c>
      <c r="R21" s="39" t="e">
        <f>AVERAGE(#REF!)</f>
        <v>#REF!</v>
      </c>
      <c r="S21" s="39" t="e">
        <f>AVERAGE(#REF!)</f>
        <v>#REF!</v>
      </c>
      <c r="T21" s="39" t="e">
        <f>AVERAGE(#REF!)</f>
        <v>#REF!</v>
      </c>
      <c r="U21" s="39">
        <f>AVERAGE(Q3:Q20)</f>
        <v>0.18727567184825034</v>
      </c>
      <c r="V21" s="39">
        <f>AVERAGE(R3:R20)</f>
        <v>0.18094112510262811</v>
      </c>
      <c r="W21" s="39">
        <f>AVERAGE(S3:S20)</f>
        <v>0.18465967705250558</v>
      </c>
      <c r="X21" s="39">
        <f t="shared" ref="X21:AT21" si="4">AVERAGE(T3:T20)/100</f>
        <v>1.7815280647911339E-3</v>
      </c>
      <c r="Y21" s="39">
        <f t="shared" si="4"/>
        <v>1.769849139870385E-3</v>
      </c>
      <c r="Z21" s="39">
        <f t="shared" si="4"/>
        <v>1.6647647058823526E-3</v>
      </c>
      <c r="AA21" s="39">
        <f t="shared" si="4"/>
        <v>1.6780624999999996E-3</v>
      </c>
      <c r="AB21" s="39">
        <f t="shared" si="4"/>
        <v>0.16778749999999995</v>
      </c>
      <c r="AC21" s="39">
        <f t="shared" si="4"/>
        <v>0.16897499999999999</v>
      </c>
      <c r="AD21" s="39">
        <f t="shared" si="4"/>
        <v>0.17239374999999998</v>
      </c>
      <c r="AE21" s="39">
        <f t="shared" si="4"/>
        <v>0.17147500000000002</v>
      </c>
      <c r="AF21" s="39">
        <f t="shared" si="4"/>
        <v>0.1693375</v>
      </c>
      <c r="AG21" s="39">
        <f t="shared" si="4"/>
        <v>0.18401250000000005</v>
      </c>
      <c r="AH21" s="39">
        <f t="shared" si="4"/>
        <v>0.16765625000000001</v>
      </c>
      <c r="AI21" s="39">
        <f t="shared" si="4"/>
        <v>0.16864375000000004</v>
      </c>
      <c r="AJ21" s="39">
        <f t="shared" si="4"/>
        <v>0.17155624999999999</v>
      </c>
      <c r="AK21" s="39">
        <f t="shared" si="4"/>
        <v>0.17345000000000002</v>
      </c>
      <c r="AL21" s="39">
        <f t="shared" si="4"/>
        <v>0.16875625</v>
      </c>
      <c r="AM21" s="39">
        <f t="shared" si="4"/>
        <v>0.17447499999999999</v>
      </c>
      <c r="AN21" s="39">
        <f t="shared" si="4"/>
        <v>0.17452500000000001</v>
      </c>
      <c r="AO21" s="39">
        <f t="shared" si="4"/>
        <v>0.17648750000000002</v>
      </c>
      <c r="AP21" s="39">
        <f t="shared" si="4"/>
        <v>0.18019375000000001</v>
      </c>
      <c r="AQ21" s="39">
        <f t="shared" si="4"/>
        <v>0.18095624999999999</v>
      </c>
      <c r="AR21" s="39">
        <f t="shared" si="4"/>
        <v>0.19143125000000003</v>
      </c>
      <c r="AS21" s="39">
        <f t="shared" si="4"/>
        <v>0.20086875000000004</v>
      </c>
      <c r="AT21" s="39">
        <f t="shared" si="4"/>
        <v>0.20578749999999998</v>
      </c>
      <c r="AU21" s="39"/>
      <c r="AV21" s="39"/>
    </row>
    <row r="22" spans="1:48" ht="15.75" customHeight="1" x14ac:dyDescent="0.35">
      <c r="A22" s="191" t="s">
        <v>233</v>
      </c>
      <c r="B22" s="120"/>
      <c r="C22" s="120"/>
      <c r="D22" s="121"/>
      <c r="E22" s="120"/>
      <c r="F22" s="120"/>
      <c r="G22" s="122"/>
      <c r="H22" s="120"/>
      <c r="I22" s="120"/>
      <c r="J22" s="120"/>
      <c r="K22" s="120"/>
      <c r="L22" s="120"/>
      <c r="M22" s="120"/>
      <c r="N22" s="120"/>
      <c r="O22" s="120"/>
      <c r="P22" s="192"/>
      <c r="Q22" s="183"/>
      <c r="R22" s="170"/>
      <c r="S22" s="158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</row>
    <row r="23" spans="1:48" s="51" customFormat="1" ht="67.5" customHeight="1" x14ac:dyDescent="0.25">
      <c r="A23" s="123" t="s">
        <v>164</v>
      </c>
      <c r="B23" s="124" t="s">
        <v>165</v>
      </c>
      <c r="C23" s="123" t="s">
        <v>166</v>
      </c>
      <c r="D23" s="125" t="s">
        <v>167</v>
      </c>
      <c r="E23" s="123" t="s">
        <v>168</v>
      </c>
      <c r="F23" s="123" t="s">
        <v>169</v>
      </c>
      <c r="G23" s="126" t="s">
        <v>170</v>
      </c>
      <c r="H23" s="127" t="s">
        <v>171</v>
      </c>
      <c r="I23" s="123" t="s">
        <v>172</v>
      </c>
      <c r="J23" s="128" t="s">
        <v>173</v>
      </c>
      <c r="K23" s="129" t="s">
        <v>174</v>
      </c>
      <c r="L23" s="38" t="s">
        <v>175</v>
      </c>
      <c r="M23" s="130" t="s">
        <v>176</v>
      </c>
      <c r="N23" s="129" t="s">
        <v>177</v>
      </c>
      <c r="O23" s="131" t="s">
        <v>178</v>
      </c>
      <c r="P23" s="193" t="s">
        <v>234</v>
      </c>
      <c r="Q23" s="190">
        <v>45942</v>
      </c>
      <c r="R23" s="171" t="s">
        <v>183</v>
      </c>
      <c r="S23" s="159" t="s">
        <v>184</v>
      </c>
      <c r="T23" s="98" t="s">
        <v>185</v>
      </c>
      <c r="U23" s="98" t="s">
        <v>186</v>
      </c>
      <c r="V23" t="s">
        <v>187</v>
      </c>
      <c r="W23" s="51" t="s">
        <v>188</v>
      </c>
      <c r="X23" s="51" t="s">
        <v>189</v>
      </c>
      <c r="Y23" s="51" t="s">
        <v>190</v>
      </c>
      <c r="Z23" s="51" t="s">
        <v>191</v>
      </c>
      <c r="AA23" s="51" t="s">
        <v>192</v>
      </c>
      <c r="AB23" s="51" t="s">
        <v>193</v>
      </c>
      <c r="AC23" s="51" t="s">
        <v>194</v>
      </c>
      <c r="AD23" s="51" t="s">
        <v>195</v>
      </c>
      <c r="AE23" s="51" t="s">
        <v>196</v>
      </c>
      <c r="AF23" s="51" t="s">
        <v>197</v>
      </c>
      <c r="AG23" s="51" t="s">
        <v>198</v>
      </c>
      <c r="AH23" s="51" t="s">
        <v>199</v>
      </c>
      <c r="AI23" s="51" t="s">
        <v>200</v>
      </c>
      <c r="AJ23" s="51" t="s">
        <v>201</v>
      </c>
      <c r="AK23" s="51" t="s">
        <v>202</v>
      </c>
      <c r="AL23" s="51" t="s">
        <v>203</v>
      </c>
      <c r="AM23" s="51" t="s">
        <v>204</v>
      </c>
      <c r="AN23" s="51" t="s">
        <v>205</v>
      </c>
      <c r="AO23" s="51" t="s">
        <v>206</v>
      </c>
      <c r="AP23" s="51" t="s">
        <v>207</v>
      </c>
      <c r="AQ23" s="52">
        <v>45753</v>
      </c>
      <c r="AR23" s="52">
        <v>45746</v>
      </c>
      <c r="AS23" s="52">
        <v>45740</v>
      </c>
      <c r="AT23" s="52">
        <v>45732</v>
      </c>
      <c r="AU23" s="53" t="s">
        <v>11</v>
      </c>
    </row>
    <row r="24" spans="1:48" ht="15.75" customHeight="1" x14ac:dyDescent="0.25">
      <c r="A24" s="194" t="s">
        <v>219</v>
      </c>
      <c r="B24" s="199">
        <v>367</v>
      </c>
      <c r="C24" s="4">
        <v>13.877599999999999</v>
      </c>
      <c r="D24" s="196">
        <v>11.64</v>
      </c>
      <c r="E24" s="4">
        <f t="shared" ref="E24:E35" si="5">D24-C24</f>
        <v>-2.2375999999999987</v>
      </c>
      <c r="F24" s="6">
        <f t="shared" ref="F24:F35" si="6">(D24/C24)/100</f>
        <v>8.3876174554678058E-3</v>
      </c>
      <c r="G24" s="7">
        <v>12537</v>
      </c>
      <c r="H24" s="8">
        <v>14571.48</v>
      </c>
      <c r="I24" s="7">
        <v>-2034.48</v>
      </c>
      <c r="J24" s="9">
        <v>45898.701793981483</v>
      </c>
      <c r="K24" t="s">
        <v>220</v>
      </c>
      <c r="L24" s="1">
        <f t="shared" ref="L24:L31" si="7">D24*(P24)/12</f>
        <v>9.8062150000000015E-2</v>
      </c>
      <c r="M24" s="1">
        <f t="shared" ref="M24:M35" si="8">((B24*C24)*O24/100)/12</f>
        <v>60.268103866666671</v>
      </c>
      <c r="N24" s="107">
        <f t="shared" ref="N24:N35" si="9">(($B24*$D24)*(P24)/12)</f>
        <v>35.98880905</v>
      </c>
      <c r="O24" s="10">
        <v>14.2</v>
      </c>
      <c r="P24" s="197">
        <v>0.101095</v>
      </c>
      <c r="Q24" s="184">
        <v>0.10535600000000001</v>
      </c>
      <c r="R24" s="172">
        <v>9.6541000000000002E-2</v>
      </c>
      <c r="S24" s="161">
        <v>0.10041799999999999</v>
      </c>
      <c r="T24" s="161">
        <v>0.103004</v>
      </c>
      <c r="U24" s="161">
        <v>0.102564</v>
      </c>
      <c r="V24" s="63">
        <v>0.1011</v>
      </c>
      <c r="W24" s="63">
        <v>0.10150000000000001</v>
      </c>
      <c r="X24" s="132">
        <v>10.14</v>
      </c>
      <c r="Y24" s="132">
        <v>10.33</v>
      </c>
      <c r="Z24" s="132">
        <v>10.199999999999999</v>
      </c>
      <c r="AA24" s="132">
        <v>10.75</v>
      </c>
      <c r="AB24" s="132">
        <v>9.93</v>
      </c>
      <c r="AC24" s="132">
        <v>10.57</v>
      </c>
      <c r="AD24" s="132">
        <v>10.67</v>
      </c>
      <c r="AE24" s="132">
        <v>10.85</v>
      </c>
      <c r="AF24" s="132">
        <v>11.17</v>
      </c>
      <c r="AG24" s="132">
        <v>11.73</v>
      </c>
      <c r="AH24" s="132">
        <v>11.4</v>
      </c>
      <c r="AI24" s="132">
        <v>12.11</v>
      </c>
      <c r="AJ24" s="132">
        <v>12.7</v>
      </c>
      <c r="AK24" s="132">
        <v>13.45</v>
      </c>
      <c r="AL24" s="132">
        <v>11.55</v>
      </c>
      <c r="AM24" s="132">
        <v>10.83</v>
      </c>
      <c r="AN24" s="96">
        <v>15.4</v>
      </c>
      <c r="AO24" s="96">
        <v>16.03</v>
      </c>
      <c r="AP24" s="96">
        <v>16.48</v>
      </c>
      <c r="AQ24" s="96">
        <v>14.68</v>
      </c>
      <c r="AR24" s="96">
        <v>14.63</v>
      </c>
      <c r="AS24" s="132">
        <v>14.02</v>
      </c>
      <c r="AT24" s="132">
        <v>13.86</v>
      </c>
      <c r="AU24" s="11" t="s">
        <v>233</v>
      </c>
    </row>
    <row r="25" spans="1:48" ht="15.75" customHeight="1" x14ac:dyDescent="0.25">
      <c r="A25" s="194" t="s">
        <v>221</v>
      </c>
      <c r="B25" s="199">
        <v>931</v>
      </c>
      <c r="C25" s="4">
        <v>6.6412000000000004</v>
      </c>
      <c r="D25" s="196">
        <v>5.57</v>
      </c>
      <c r="E25" s="4">
        <f t="shared" si="5"/>
        <v>-1.0712000000000002</v>
      </c>
      <c r="F25" s="6">
        <f t="shared" si="6"/>
        <v>8.3870384870204165E-3</v>
      </c>
      <c r="G25" s="7">
        <v>9652.5</v>
      </c>
      <c r="H25" s="8">
        <v>10791.95</v>
      </c>
      <c r="I25" s="7">
        <v>-1139.450000000001</v>
      </c>
      <c r="J25" s="9">
        <v>45869.701793981483</v>
      </c>
      <c r="K25" t="s">
        <v>209</v>
      </c>
      <c r="L25" s="1">
        <f t="shared" si="7"/>
        <v>7.6947229166666672E-2</v>
      </c>
      <c r="M25" s="1">
        <f t="shared" si="8"/>
        <v>80.017771096666664</v>
      </c>
      <c r="N25" s="107">
        <f t="shared" si="9"/>
        <v>71.637870354166679</v>
      </c>
      <c r="O25" s="10">
        <v>15.53</v>
      </c>
      <c r="P25" s="198">
        <v>0.16577500000000001</v>
      </c>
      <c r="Q25" s="185">
        <v>0.16489400000000001</v>
      </c>
      <c r="R25" s="173">
        <v>0.16117899999999999</v>
      </c>
      <c r="S25" s="160">
        <v>0.16006899999999999</v>
      </c>
      <c r="T25" s="160">
        <v>0.15709500000000001</v>
      </c>
      <c r="U25" s="160">
        <v>0.15789500000000001</v>
      </c>
      <c r="V25" s="133">
        <v>0.15790000000000001</v>
      </c>
      <c r="W25" s="133">
        <v>0.15659999999999999</v>
      </c>
      <c r="X25" s="96">
        <v>15.79</v>
      </c>
      <c r="Y25" s="96">
        <v>15.55</v>
      </c>
      <c r="Z25" s="96">
        <v>15.63</v>
      </c>
      <c r="AA25" s="96">
        <v>15.63</v>
      </c>
      <c r="AB25" s="96">
        <v>15.63</v>
      </c>
      <c r="AC25" s="96">
        <v>15.6</v>
      </c>
      <c r="AD25" s="96">
        <v>15.58</v>
      </c>
      <c r="AE25" s="96">
        <v>15.66</v>
      </c>
      <c r="AF25" s="96">
        <v>15.87</v>
      </c>
      <c r="AG25" s="96">
        <v>15.82</v>
      </c>
      <c r="AH25" s="96">
        <v>15.76</v>
      </c>
      <c r="AI25" s="96">
        <v>15.92</v>
      </c>
      <c r="AJ25" s="96">
        <v>15.9</v>
      </c>
      <c r="AK25" s="96">
        <v>16.23</v>
      </c>
      <c r="AL25" s="96">
        <v>16.29</v>
      </c>
      <c r="AM25" s="96">
        <v>16.399999999999999</v>
      </c>
      <c r="AN25" s="96">
        <v>16.79</v>
      </c>
      <c r="AO25" s="96">
        <v>16.88</v>
      </c>
      <c r="AP25" s="96">
        <v>17.350000000000001</v>
      </c>
      <c r="AQ25" s="96">
        <v>16.059999999999999</v>
      </c>
      <c r="AR25" s="96">
        <v>15.74</v>
      </c>
      <c r="AS25" s="132">
        <v>15.5</v>
      </c>
      <c r="AT25" s="96">
        <v>15.68</v>
      </c>
      <c r="AU25" s="11" t="s">
        <v>233</v>
      </c>
    </row>
    <row r="26" spans="1:48" ht="15.75" customHeight="1" x14ac:dyDescent="0.25">
      <c r="A26" s="194" t="s">
        <v>208</v>
      </c>
      <c r="B26" s="199">
        <v>326</v>
      </c>
      <c r="C26" s="4">
        <v>10.37</v>
      </c>
      <c r="D26" s="196">
        <v>9.99</v>
      </c>
      <c r="E26" s="4">
        <f t="shared" si="5"/>
        <v>-0.37999999999999901</v>
      </c>
      <c r="F26" s="6">
        <f t="shared" si="6"/>
        <v>9.633558341369336E-3</v>
      </c>
      <c r="G26" s="7">
        <v>7183.36</v>
      </c>
      <c r="H26" s="8">
        <v>7632.32</v>
      </c>
      <c r="I26" s="7">
        <v>-448.96</v>
      </c>
      <c r="J26" s="9">
        <v>45880.701793981483</v>
      </c>
      <c r="K26" t="s">
        <v>209</v>
      </c>
      <c r="L26" s="1">
        <f t="shared" si="7"/>
        <v>0.12084653250000001</v>
      </c>
      <c r="M26" s="1">
        <f t="shared" si="8"/>
        <v>38.905301833333333</v>
      </c>
      <c r="N26" s="107">
        <f t="shared" si="9"/>
        <v>39.395969595000004</v>
      </c>
      <c r="O26" s="10">
        <v>13.81</v>
      </c>
      <c r="P26" s="198">
        <v>0.14516100000000001</v>
      </c>
      <c r="Q26" s="185">
        <v>0.14501500000000001</v>
      </c>
      <c r="R26" s="173">
        <v>0.14385600000000001</v>
      </c>
      <c r="S26" s="160">
        <v>0.14754100000000001</v>
      </c>
      <c r="T26" s="160">
        <v>0.14257400000000001</v>
      </c>
      <c r="U26" s="160">
        <v>0.141454</v>
      </c>
      <c r="V26" s="133">
        <v>0.14119999999999999</v>
      </c>
      <c r="W26" s="133">
        <v>0.1489</v>
      </c>
      <c r="X26" s="96">
        <v>14.57</v>
      </c>
      <c r="Y26" s="96">
        <v>14.98</v>
      </c>
      <c r="Z26" s="96">
        <v>15.3</v>
      </c>
      <c r="AA26" s="96">
        <v>15.27</v>
      </c>
      <c r="AB26" s="96">
        <v>14.83</v>
      </c>
      <c r="AC26" s="96">
        <v>15.52</v>
      </c>
      <c r="AD26" s="96">
        <v>15.24</v>
      </c>
      <c r="AE26" s="96">
        <v>15.29</v>
      </c>
      <c r="AF26" s="96">
        <v>15.45</v>
      </c>
      <c r="AG26" s="96">
        <v>15.55</v>
      </c>
      <c r="AH26" s="96">
        <v>15.32</v>
      </c>
      <c r="AI26" s="96">
        <v>15.93</v>
      </c>
      <c r="AJ26" s="96">
        <v>16.309999999999999</v>
      </c>
      <c r="AK26" s="96">
        <v>16.350000000000001</v>
      </c>
      <c r="AL26" s="96">
        <v>16.22</v>
      </c>
      <c r="AM26" s="96">
        <v>16.350000000000001</v>
      </c>
      <c r="AN26" s="96">
        <v>16.510000000000002</v>
      </c>
      <c r="AO26" s="96">
        <v>17.350000000000001</v>
      </c>
      <c r="AP26" s="96">
        <v>17.73</v>
      </c>
      <c r="AQ26" s="96">
        <v>15.42</v>
      </c>
      <c r="AR26" s="96">
        <v>15.13</v>
      </c>
      <c r="AS26" s="96">
        <v>14.17</v>
      </c>
      <c r="AT26" s="96">
        <v>14.06</v>
      </c>
      <c r="AU26" s="11" t="s">
        <v>233</v>
      </c>
    </row>
    <row r="27" spans="1:48" ht="17.25" customHeight="1" x14ac:dyDescent="0.25">
      <c r="A27" s="194" t="s">
        <v>222</v>
      </c>
      <c r="B27" s="199">
        <v>200</v>
      </c>
      <c r="C27" s="4">
        <v>28.001799999999999</v>
      </c>
      <c r="D27" s="196">
        <v>17.54</v>
      </c>
      <c r="E27" s="4">
        <f t="shared" si="5"/>
        <v>-10.4618</v>
      </c>
      <c r="F27" s="6">
        <f t="shared" si="6"/>
        <v>6.2638830360905373E-3</v>
      </c>
      <c r="G27" s="7">
        <v>8597.6</v>
      </c>
      <c r="H27" s="8">
        <v>12320.791999999999</v>
      </c>
      <c r="I27" s="7">
        <v>-3723.1919999999991</v>
      </c>
      <c r="J27" s="9">
        <v>45876.701793981483</v>
      </c>
      <c r="K27" t="s">
        <v>209</v>
      </c>
      <c r="L27" s="1">
        <f t="shared" si="7"/>
        <v>0.84064250333333324</v>
      </c>
      <c r="M27" s="1">
        <f t="shared" si="8"/>
        <v>266.34378766666663</v>
      </c>
      <c r="N27" s="107">
        <f t="shared" si="9"/>
        <v>168.12850066666667</v>
      </c>
      <c r="O27" s="10">
        <v>57.07</v>
      </c>
      <c r="P27" s="198">
        <v>0.57512600000000003</v>
      </c>
      <c r="Q27" s="184">
        <v>0.53357599999999994</v>
      </c>
      <c r="R27" s="172">
        <v>0.51304300000000003</v>
      </c>
      <c r="S27" s="161">
        <v>0.56388300000000002</v>
      </c>
      <c r="T27" s="161">
        <v>0.52376500000000004</v>
      </c>
      <c r="U27" s="161">
        <v>0.52636499999999997</v>
      </c>
      <c r="V27" s="63">
        <v>0.55969999999999998</v>
      </c>
      <c r="W27" s="63">
        <v>0.54069999999999996</v>
      </c>
      <c r="X27" s="132">
        <v>51.89</v>
      </c>
      <c r="Y27" s="132">
        <v>51.21</v>
      </c>
      <c r="Z27" s="132">
        <v>51.36</v>
      </c>
      <c r="AA27" s="132">
        <v>51.67</v>
      </c>
      <c r="AB27" s="132">
        <v>49.83</v>
      </c>
      <c r="AC27" s="132">
        <v>48.92</v>
      </c>
      <c r="AD27" s="132">
        <v>51.27</v>
      </c>
      <c r="AE27" s="132">
        <v>52.94</v>
      </c>
      <c r="AF27" s="132">
        <v>55.31</v>
      </c>
      <c r="AG27" s="96">
        <v>57.33</v>
      </c>
      <c r="AH27" s="132">
        <v>55.67</v>
      </c>
      <c r="AI27" s="96">
        <v>58.32</v>
      </c>
      <c r="AJ27" s="132">
        <v>56.87</v>
      </c>
      <c r="AK27" s="132">
        <v>54.14</v>
      </c>
      <c r="AL27" s="96">
        <v>59.28</v>
      </c>
      <c r="AM27" s="96">
        <v>62.12</v>
      </c>
      <c r="AN27" s="96">
        <v>67.78</v>
      </c>
      <c r="AO27" s="96">
        <v>75.319999999999993</v>
      </c>
      <c r="AP27" s="96">
        <v>79.84</v>
      </c>
      <c r="AQ27" s="96">
        <v>77.52</v>
      </c>
      <c r="AR27" s="96">
        <v>74.83</v>
      </c>
      <c r="AS27" s="96">
        <v>74.83</v>
      </c>
      <c r="AT27" s="96">
        <v>74.83</v>
      </c>
      <c r="AU27" s="11" t="s">
        <v>233</v>
      </c>
    </row>
    <row r="28" spans="1:48" ht="15.75" customHeight="1" x14ac:dyDescent="0.25">
      <c r="A28" s="194" t="s">
        <v>226</v>
      </c>
      <c r="B28" s="199">
        <v>300</v>
      </c>
      <c r="C28" s="4">
        <v>15.65</v>
      </c>
      <c r="D28" s="196">
        <v>12.21</v>
      </c>
      <c r="E28" s="4">
        <f t="shared" si="5"/>
        <v>-3.4399999999999995</v>
      </c>
      <c r="F28" s="6">
        <f t="shared" si="6"/>
        <v>7.8019169329073493E-3</v>
      </c>
      <c r="G28" s="7">
        <v>6468.08</v>
      </c>
      <c r="H28" s="8">
        <v>7292.9000000000005</v>
      </c>
      <c r="I28" s="7">
        <v>-824.82000000000062</v>
      </c>
      <c r="J28" s="9">
        <v>45898.701805555553</v>
      </c>
      <c r="K28" t="s">
        <v>209</v>
      </c>
      <c r="L28" s="1">
        <f t="shared" si="7"/>
        <v>0.12852653000000003</v>
      </c>
      <c r="M28" s="1">
        <f t="shared" si="8"/>
        <v>59.587375000000009</v>
      </c>
      <c r="N28" s="107">
        <f t="shared" si="9"/>
        <v>38.557959000000004</v>
      </c>
      <c r="O28" s="10">
        <v>15.23</v>
      </c>
      <c r="P28" s="197">
        <v>0.12631600000000001</v>
      </c>
      <c r="Q28" s="184">
        <v>0.12479999999999999</v>
      </c>
      <c r="R28" s="172">
        <v>0.116679</v>
      </c>
      <c r="S28" s="161">
        <v>0.118812</v>
      </c>
      <c r="T28" s="161">
        <v>0.119357</v>
      </c>
      <c r="U28" s="161">
        <v>0.116592</v>
      </c>
      <c r="V28" s="63">
        <v>0.11210000000000001</v>
      </c>
      <c r="W28" s="63">
        <v>0.11260000000000001</v>
      </c>
      <c r="X28" s="132">
        <v>11.7</v>
      </c>
      <c r="Y28" s="132">
        <v>12.01</v>
      </c>
      <c r="Z28" s="132">
        <v>12.73</v>
      </c>
      <c r="AA28" s="132">
        <v>12.01</v>
      </c>
      <c r="AB28" s="132">
        <v>12.05</v>
      </c>
      <c r="AC28" s="132">
        <v>11.61</v>
      </c>
      <c r="AD28" s="132">
        <v>11.24</v>
      </c>
      <c r="AE28" s="132">
        <v>11.35</v>
      </c>
      <c r="AF28" s="132">
        <v>11.62</v>
      </c>
      <c r="AG28" s="132">
        <v>11.66</v>
      </c>
      <c r="AH28" s="132">
        <v>11.86</v>
      </c>
      <c r="AI28" s="132">
        <v>12.17</v>
      </c>
      <c r="AJ28" s="132">
        <v>11.8</v>
      </c>
      <c r="AK28" s="96">
        <v>16.72</v>
      </c>
      <c r="AL28" s="96">
        <v>16.670000000000002</v>
      </c>
      <c r="AM28" s="96">
        <v>17.13</v>
      </c>
      <c r="AN28" s="96">
        <v>17.13</v>
      </c>
      <c r="AO28" s="96">
        <v>17.38</v>
      </c>
      <c r="AP28" s="96">
        <v>17.079999999999998</v>
      </c>
      <c r="AQ28" s="96">
        <v>16.18</v>
      </c>
      <c r="AR28" s="96">
        <v>16.02</v>
      </c>
      <c r="AS28" s="96">
        <v>16.04</v>
      </c>
      <c r="AT28" s="96">
        <v>15.75</v>
      </c>
      <c r="AU28" s="11" t="s">
        <v>233</v>
      </c>
    </row>
    <row r="29" spans="1:48" ht="15.75" customHeight="1" x14ac:dyDescent="0.25">
      <c r="A29" s="194" t="s">
        <v>227</v>
      </c>
      <c r="B29" s="199">
        <v>90</v>
      </c>
      <c r="C29" s="4">
        <v>11.3</v>
      </c>
      <c r="D29" s="196">
        <v>10.39</v>
      </c>
      <c r="E29" s="4">
        <f t="shared" si="5"/>
        <v>-0.91000000000000014</v>
      </c>
      <c r="F29" s="6">
        <f t="shared" si="6"/>
        <v>9.1946902654867265E-3</v>
      </c>
      <c r="G29" s="7">
        <v>989.1</v>
      </c>
      <c r="H29" s="8">
        <v>1017</v>
      </c>
      <c r="I29" s="7">
        <v>-27.900000000000091</v>
      </c>
      <c r="J29" s="9">
        <v>45845.701805555553</v>
      </c>
      <c r="K29" t="s">
        <v>220</v>
      </c>
      <c r="L29" s="1">
        <f t="shared" si="7"/>
        <v>0.11446489833333333</v>
      </c>
      <c r="M29" s="1">
        <f t="shared" si="8"/>
        <v>9.1784250000000007</v>
      </c>
      <c r="N29" s="107">
        <f t="shared" si="9"/>
        <v>10.30184085</v>
      </c>
      <c r="O29" s="10">
        <v>10.83</v>
      </c>
      <c r="P29" s="198">
        <v>0.13220199999999999</v>
      </c>
      <c r="Q29" s="185">
        <v>0.132717</v>
      </c>
      <c r="R29" s="173">
        <v>0.12931699999999999</v>
      </c>
      <c r="S29" s="160">
        <v>0.122782</v>
      </c>
      <c r="T29" s="160">
        <v>0.11976299999999999</v>
      </c>
      <c r="U29" s="160">
        <v>0.118468</v>
      </c>
      <c r="V29" s="133">
        <v>0.1172</v>
      </c>
      <c r="W29" s="133">
        <v>0.12089999999999999</v>
      </c>
      <c r="X29" s="96">
        <v>12</v>
      </c>
      <c r="Y29" s="96">
        <v>12.22</v>
      </c>
      <c r="Z29" s="96">
        <v>12.42</v>
      </c>
      <c r="AA29" s="96">
        <v>12.61</v>
      </c>
      <c r="AB29" s="96">
        <v>12.19</v>
      </c>
      <c r="AC29" s="96">
        <v>12.52</v>
      </c>
      <c r="AD29" s="96">
        <v>12.31</v>
      </c>
      <c r="AE29" s="96">
        <v>12.43</v>
      </c>
      <c r="AF29" s="96">
        <v>12.4</v>
      </c>
      <c r="AG29" s="96">
        <v>12.61</v>
      </c>
      <c r="AH29" s="96">
        <v>12.38</v>
      </c>
      <c r="AI29" s="96">
        <v>12.76</v>
      </c>
      <c r="AJ29" s="96">
        <v>13.02</v>
      </c>
      <c r="AK29" s="96">
        <v>13.05</v>
      </c>
      <c r="AL29" s="96">
        <v>12.76</v>
      </c>
      <c r="AM29" s="96">
        <v>12.78</v>
      </c>
      <c r="AN29" s="96">
        <v>13.17</v>
      </c>
      <c r="AO29" s="96">
        <v>13.88</v>
      </c>
      <c r="AP29" s="96">
        <v>14.2</v>
      </c>
      <c r="AQ29" s="96">
        <v>12.43</v>
      </c>
      <c r="AR29" s="132">
        <v>10.41</v>
      </c>
      <c r="AS29" s="96">
        <v>10.83</v>
      </c>
      <c r="AT29" s="96">
        <v>10.83</v>
      </c>
      <c r="AU29" s="11" t="s">
        <v>233</v>
      </c>
    </row>
    <row r="30" spans="1:48" ht="15.75" customHeight="1" x14ac:dyDescent="0.25">
      <c r="A30" s="194" t="s">
        <v>228</v>
      </c>
      <c r="B30" s="199">
        <v>348</v>
      </c>
      <c r="C30" s="4">
        <v>9.5274000000000001</v>
      </c>
      <c r="D30" s="196">
        <v>6.95</v>
      </c>
      <c r="E30" s="4">
        <f t="shared" si="5"/>
        <v>-2.5773999999999999</v>
      </c>
      <c r="F30" s="6">
        <f t="shared" si="6"/>
        <v>7.2947498792955059E-3</v>
      </c>
      <c r="G30" s="7">
        <v>11758.65</v>
      </c>
      <c r="H30" s="8">
        <v>13195.449000000001</v>
      </c>
      <c r="I30" s="7">
        <v>-1436.7990000000009</v>
      </c>
      <c r="J30" s="9">
        <v>45930.701805555553</v>
      </c>
      <c r="K30" t="s">
        <v>220</v>
      </c>
      <c r="L30" s="1">
        <f t="shared" si="7"/>
        <v>0.11349639583333333</v>
      </c>
      <c r="M30" s="1">
        <f t="shared" si="8"/>
        <v>44.317653839999998</v>
      </c>
      <c r="N30" s="107">
        <f t="shared" si="9"/>
        <v>39.496745749999995</v>
      </c>
      <c r="O30" s="10">
        <v>16.04</v>
      </c>
      <c r="P30" s="198">
        <v>0.195965</v>
      </c>
      <c r="Q30" s="185">
        <v>0.18915199999999999</v>
      </c>
      <c r="R30" s="173">
        <v>0.176394</v>
      </c>
      <c r="S30" s="160">
        <v>0.17228299999999999</v>
      </c>
      <c r="T30" s="160">
        <v>0.16326499999999999</v>
      </c>
      <c r="U30" s="161">
        <v>0.155695</v>
      </c>
      <c r="V30" s="63">
        <v>0.157</v>
      </c>
      <c r="W30" s="133">
        <v>0.1628</v>
      </c>
      <c r="X30" s="96">
        <v>16.350000000000001</v>
      </c>
      <c r="Y30" s="96">
        <v>16.43</v>
      </c>
      <c r="Z30" s="96">
        <v>16.45</v>
      </c>
      <c r="AA30" s="134">
        <v>16.04</v>
      </c>
      <c r="AB30" s="134">
        <v>16.04</v>
      </c>
      <c r="AC30" s="132">
        <v>15.96</v>
      </c>
      <c r="AD30" s="96">
        <v>16.079999999999998</v>
      </c>
      <c r="AE30" s="132">
        <v>15.93</v>
      </c>
      <c r="AF30" s="96">
        <v>16.079999999999998</v>
      </c>
      <c r="AG30" s="132">
        <v>15.53</v>
      </c>
      <c r="AH30" s="132">
        <v>15.23</v>
      </c>
      <c r="AI30" s="96">
        <v>16.190000000000001</v>
      </c>
      <c r="AJ30" s="96">
        <v>16.22</v>
      </c>
      <c r="AK30" s="96">
        <v>16.41</v>
      </c>
      <c r="AL30" s="132">
        <v>15.91</v>
      </c>
      <c r="AM30" s="132">
        <v>15.49</v>
      </c>
      <c r="AN30" s="132">
        <v>15.93</v>
      </c>
      <c r="AO30" s="96">
        <v>16.690000000000001</v>
      </c>
      <c r="AP30" s="96">
        <v>16.350000000000001</v>
      </c>
      <c r="AQ30" s="132">
        <v>14.99</v>
      </c>
      <c r="AR30" s="132">
        <v>15.13</v>
      </c>
      <c r="AS30" s="132">
        <v>14.82</v>
      </c>
      <c r="AT30" s="132">
        <v>14.62</v>
      </c>
      <c r="AU30" s="11" t="s">
        <v>233</v>
      </c>
    </row>
    <row r="31" spans="1:48" ht="15.75" customHeight="1" x14ac:dyDescent="0.25">
      <c r="A31" s="194" t="s">
        <v>229</v>
      </c>
      <c r="B31" s="199">
        <v>380</v>
      </c>
      <c r="C31" s="4">
        <v>19.151299999999999</v>
      </c>
      <c r="D31" s="196">
        <v>18.95</v>
      </c>
      <c r="E31" s="4">
        <f t="shared" si="5"/>
        <v>-0.20129999999999981</v>
      </c>
      <c r="F31" s="6">
        <f t="shared" si="6"/>
        <v>9.8948896419564208E-3</v>
      </c>
      <c r="G31" s="7">
        <v>13519.2</v>
      </c>
      <c r="H31" s="8">
        <v>13176.0944</v>
      </c>
      <c r="I31" s="7">
        <v>343.10559999999901</v>
      </c>
      <c r="J31" s="9">
        <v>45870.701805555553</v>
      </c>
      <c r="K31" t="s">
        <v>209</v>
      </c>
      <c r="L31" s="1">
        <f t="shared" si="7"/>
        <v>0.21650059166666666</v>
      </c>
      <c r="M31" s="1">
        <f t="shared" si="8"/>
        <v>100.97522924999998</v>
      </c>
      <c r="N31" s="107">
        <f t="shared" si="9"/>
        <v>82.27022483333333</v>
      </c>
      <c r="O31" s="10">
        <v>16.649999999999999</v>
      </c>
      <c r="P31" s="197">
        <v>0.137098</v>
      </c>
      <c r="Q31" s="184">
        <v>0.13411000000000001</v>
      </c>
      <c r="R31" s="172">
        <v>0.13336700000000001</v>
      </c>
      <c r="S31" s="161">
        <v>0.13411000000000001</v>
      </c>
      <c r="T31" s="161">
        <v>0.133907</v>
      </c>
      <c r="U31" s="161">
        <v>0.1333</v>
      </c>
      <c r="V31" s="63">
        <v>0.13250000000000001</v>
      </c>
      <c r="W31" s="63">
        <v>0.1358</v>
      </c>
      <c r="X31" s="132">
        <v>13.7</v>
      </c>
      <c r="Y31" s="132">
        <v>13.82</v>
      </c>
      <c r="Z31" s="132">
        <v>13.71</v>
      </c>
      <c r="AA31" s="132">
        <v>13.78</v>
      </c>
      <c r="AB31" s="132">
        <v>13.85</v>
      </c>
      <c r="AC31" s="132">
        <v>13.99</v>
      </c>
      <c r="AD31" s="132">
        <v>13.93</v>
      </c>
      <c r="AE31" s="132">
        <v>13.89</v>
      </c>
      <c r="AF31" s="132">
        <v>14.05</v>
      </c>
      <c r="AG31" s="132">
        <v>14.2</v>
      </c>
      <c r="AH31" s="132">
        <v>14.07</v>
      </c>
      <c r="AI31" s="132">
        <v>14.03</v>
      </c>
      <c r="AJ31" s="132">
        <v>14.07</v>
      </c>
      <c r="AK31" s="132">
        <v>14.41</v>
      </c>
      <c r="AL31" s="132">
        <v>13.98</v>
      </c>
      <c r="AM31" s="132">
        <v>14.21</v>
      </c>
      <c r="AN31" s="132">
        <v>14.44</v>
      </c>
      <c r="AO31" s="132">
        <v>14.93</v>
      </c>
      <c r="AP31" s="132">
        <v>14.89</v>
      </c>
      <c r="AQ31" s="132">
        <v>13.42</v>
      </c>
      <c r="AR31" s="96">
        <v>16.649999999999999</v>
      </c>
      <c r="AS31" s="96">
        <v>16.649999999999999</v>
      </c>
      <c r="AT31" s="96">
        <v>16.649999999999999</v>
      </c>
      <c r="AU31" s="11" t="s">
        <v>233</v>
      </c>
    </row>
    <row r="32" spans="1:48" ht="15.75" customHeight="1" x14ac:dyDescent="0.25">
      <c r="A32" s="194" t="s">
        <v>212</v>
      </c>
      <c r="B32" s="199">
        <v>237</v>
      </c>
      <c r="C32" s="4">
        <v>38.83</v>
      </c>
      <c r="D32" s="196">
        <v>34.96</v>
      </c>
      <c r="E32" s="4">
        <f t="shared" si="5"/>
        <v>-3.8699999999999974</v>
      </c>
      <c r="F32" s="6">
        <f t="shared" si="6"/>
        <v>9.0033479268606751E-3</v>
      </c>
      <c r="G32" s="7">
        <v>9602.0399999999991</v>
      </c>
      <c r="H32" s="8">
        <v>10717.08</v>
      </c>
      <c r="I32" s="7">
        <v>-1115.0400000000011</v>
      </c>
      <c r="J32" s="9">
        <v>45870.701805555553</v>
      </c>
      <c r="K32" t="s">
        <v>213</v>
      </c>
      <c r="L32" s="1">
        <f>D32*(P32)/52</f>
        <v>0.20419999999999999</v>
      </c>
      <c r="M32" s="1">
        <f t="shared" si="8"/>
        <v>224.92957024999995</v>
      </c>
      <c r="N32" s="107">
        <f t="shared" si="9"/>
        <v>209.71340000000001</v>
      </c>
      <c r="O32" s="157">
        <v>29.33</v>
      </c>
      <c r="P32" s="198">
        <v>0.3037299771167048</v>
      </c>
      <c r="Q32" s="185">
        <v>0.30888242142025613</v>
      </c>
      <c r="R32" s="173">
        <v>0.30365712674467782</v>
      </c>
      <c r="S32" s="160">
        <v>0.29924250989259471</v>
      </c>
      <c r="T32" s="160">
        <v>0.29057971014492751</v>
      </c>
      <c r="U32" s="160">
        <v>0.29325453777965388</v>
      </c>
      <c r="V32" s="133">
        <v>9.8799999999999999E-2</v>
      </c>
      <c r="W32" s="133">
        <v>6.9800000000000001E-2</v>
      </c>
      <c r="X32" s="96">
        <v>8.1999999999999993</v>
      </c>
      <c r="Y32" s="96">
        <v>7.85</v>
      </c>
      <c r="Z32" s="96">
        <v>8.14</v>
      </c>
      <c r="AA32" s="132">
        <v>8.08</v>
      </c>
      <c r="AB32" s="132">
        <v>8</v>
      </c>
      <c r="AC32" s="96">
        <v>32.4</v>
      </c>
      <c r="AD32" s="96">
        <v>8.08</v>
      </c>
      <c r="AE32" s="96">
        <v>7.82</v>
      </c>
      <c r="AF32" s="96">
        <v>8.43</v>
      </c>
      <c r="AG32" s="96">
        <v>7.18</v>
      </c>
      <c r="AH32" s="132">
        <v>5.05</v>
      </c>
      <c r="AI32" s="96">
        <v>7.3</v>
      </c>
      <c r="AJ32" s="96">
        <v>7.54</v>
      </c>
      <c r="AK32" s="132">
        <v>6.11</v>
      </c>
      <c r="AL32" s="96">
        <v>11.39</v>
      </c>
      <c r="AM32" s="96">
        <v>8.17</v>
      </c>
      <c r="AN32" s="96">
        <v>9.17</v>
      </c>
      <c r="AO32" s="96">
        <v>8.3000000000000007</v>
      </c>
      <c r="AP32" s="96">
        <v>7.08</v>
      </c>
      <c r="AQ32" s="96">
        <v>9.1300000000000008</v>
      </c>
      <c r="AR32" s="12">
        <v>7.92</v>
      </c>
      <c r="AS32" s="12">
        <v>9.2899999999999991</v>
      </c>
      <c r="AT32" s="12">
        <v>8.0399999999999991</v>
      </c>
      <c r="AU32" s="11" t="s">
        <v>233</v>
      </c>
    </row>
    <row r="33" spans="1:48" ht="21" customHeight="1" x14ac:dyDescent="0.25">
      <c r="A33" s="194" t="s">
        <v>214</v>
      </c>
      <c r="B33" s="195">
        <v>174</v>
      </c>
      <c r="C33" s="4">
        <v>52.6</v>
      </c>
      <c r="D33" s="196">
        <v>54.48</v>
      </c>
      <c r="E33" s="4">
        <f t="shared" si="5"/>
        <v>1.8799999999999955</v>
      </c>
      <c r="F33" s="6">
        <f t="shared" si="6"/>
        <v>1.03574144486692E-2</v>
      </c>
      <c r="G33" s="7">
        <f>B33*D33</f>
        <v>9479.5199999999986</v>
      </c>
      <c r="H33" s="8">
        <f>B33*C33</f>
        <v>9152.4</v>
      </c>
      <c r="I33" s="7">
        <f>G33-H33</f>
        <v>327.11999999999898</v>
      </c>
      <c r="J33" s="9">
        <v>45922</v>
      </c>
      <c r="K33" t="s">
        <v>209</v>
      </c>
      <c r="L33" s="1">
        <f>D33*(P33)/12</f>
        <v>2.7781000000000002</v>
      </c>
      <c r="M33" s="1">
        <f t="shared" si="8"/>
        <v>104.48989999999999</v>
      </c>
      <c r="N33" s="107">
        <f t="shared" si="9"/>
        <v>483.38940000000002</v>
      </c>
      <c r="O33" s="10">
        <v>13.7</v>
      </c>
      <c r="P33" s="198">
        <v>0.61191629955947147</v>
      </c>
      <c r="Q33" s="185">
        <v>0.13800000000000001</v>
      </c>
      <c r="R33" s="172">
        <v>0.135105</v>
      </c>
      <c r="S33" s="160">
        <v>0.13714199999999999</v>
      </c>
      <c r="T33" s="161">
        <v>0.134687</v>
      </c>
      <c r="U33" s="161">
        <v>0.135986</v>
      </c>
      <c r="V33" s="110">
        <v>0.13700000000000001</v>
      </c>
      <c r="W33" s="2"/>
      <c r="AU33" s="11" t="s">
        <v>233</v>
      </c>
    </row>
    <row r="34" spans="1:48" ht="21" customHeight="1" x14ac:dyDescent="0.25">
      <c r="A34" s="194" t="s">
        <v>231</v>
      </c>
      <c r="B34" s="195">
        <v>790</v>
      </c>
      <c r="C34" s="4">
        <v>16.540700000000001</v>
      </c>
      <c r="D34" s="196">
        <v>15.35</v>
      </c>
      <c r="E34" s="4">
        <f t="shared" si="5"/>
        <v>-1.1907000000000014</v>
      </c>
      <c r="F34" s="6">
        <f t="shared" si="6"/>
        <v>9.2801392927747903E-3</v>
      </c>
      <c r="G34" s="7">
        <v>8754.48</v>
      </c>
      <c r="H34" s="8">
        <v>9577.0653000000002</v>
      </c>
      <c r="I34" s="7">
        <v>-822.58530000000064</v>
      </c>
      <c r="J34" s="9">
        <v>45866.701805555553</v>
      </c>
      <c r="K34" t="s">
        <v>209</v>
      </c>
      <c r="L34" s="1">
        <f>D34*(P34)/12</f>
        <v>0.15626811666666665</v>
      </c>
      <c r="M34" s="1">
        <f t="shared" si="8"/>
        <v>129.25592175833333</v>
      </c>
      <c r="N34" s="107">
        <f t="shared" si="9"/>
        <v>123.45181216666667</v>
      </c>
      <c r="O34" s="10">
        <v>11.87</v>
      </c>
      <c r="P34" s="198">
        <v>0.12216399999999999</v>
      </c>
      <c r="Q34" s="185">
        <v>0.12543499999999999</v>
      </c>
      <c r="R34" s="173">
        <v>0.123696</v>
      </c>
      <c r="S34" s="160">
        <v>0.12577199999999999</v>
      </c>
      <c r="T34" s="160">
        <v>0.12321799999999999</v>
      </c>
      <c r="U34" s="160">
        <v>0.12346</v>
      </c>
      <c r="V34" s="133">
        <v>0.12429999999999999</v>
      </c>
      <c r="W34" s="133">
        <v>0.12470000000000001</v>
      </c>
      <c r="X34" s="96">
        <v>12.5</v>
      </c>
      <c r="Y34" s="96">
        <v>12.52</v>
      </c>
      <c r="Z34" s="96">
        <v>12.83</v>
      </c>
      <c r="AA34" s="96">
        <v>12.89</v>
      </c>
      <c r="AB34" s="96">
        <v>12.77</v>
      </c>
      <c r="AC34" s="96">
        <v>12.66</v>
      </c>
      <c r="AD34" s="96">
        <v>12.67</v>
      </c>
      <c r="AE34" s="96">
        <v>12.74</v>
      </c>
      <c r="AF34" s="96">
        <v>12.81</v>
      </c>
      <c r="AG34" s="96">
        <v>12.89</v>
      </c>
      <c r="AH34" s="96">
        <v>12.92</v>
      </c>
      <c r="AI34" s="96">
        <v>13.1</v>
      </c>
      <c r="AJ34" s="96">
        <v>13.2</v>
      </c>
      <c r="AK34" s="96">
        <v>13.39</v>
      </c>
      <c r="AL34" s="96">
        <v>13.25</v>
      </c>
      <c r="AM34" s="96">
        <v>13.33</v>
      </c>
      <c r="AN34" s="96">
        <v>13.36</v>
      </c>
      <c r="AO34" s="96">
        <v>13.79</v>
      </c>
      <c r="AP34" s="96">
        <v>14.02</v>
      </c>
      <c r="AQ34" s="96">
        <v>13.48</v>
      </c>
      <c r="AR34" s="96">
        <v>12.28</v>
      </c>
      <c r="AS34" s="96">
        <v>12.28</v>
      </c>
      <c r="AT34" s="96">
        <v>12.28</v>
      </c>
      <c r="AU34" s="11" t="s">
        <v>233</v>
      </c>
    </row>
    <row r="35" spans="1:48" ht="15.75" customHeight="1" x14ac:dyDescent="0.25">
      <c r="A35" s="194" t="s">
        <v>232</v>
      </c>
      <c r="B35" s="195">
        <v>51</v>
      </c>
      <c r="C35" s="4">
        <v>17.21</v>
      </c>
      <c r="D35" s="196">
        <v>17.32</v>
      </c>
      <c r="E35" s="4">
        <f t="shared" si="5"/>
        <v>0.10999999999999943</v>
      </c>
      <c r="F35" s="6">
        <f t="shared" si="6"/>
        <v>1.0063916327716445E-2</v>
      </c>
      <c r="G35" s="7">
        <f>B35*D35</f>
        <v>883.32</v>
      </c>
      <c r="H35" s="8">
        <f>B35*C35</f>
        <v>877.71</v>
      </c>
      <c r="I35" s="7">
        <f>G35-H35</f>
        <v>5.6100000000000136</v>
      </c>
      <c r="J35" s="9">
        <v>45894.670046296298</v>
      </c>
      <c r="K35" t="s">
        <v>209</v>
      </c>
      <c r="L35" s="1">
        <f>D35*(P35)/12</f>
        <v>0.28952112000000002</v>
      </c>
      <c r="M35" s="1">
        <f t="shared" si="8"/>
        <v>9.0550414999999997</v>
      </c>
      <c r="N35" s="107">
        <f t="shared" si="9"/>
        <v>14.765577120000001</v>
      </c>
      <c r="O35" s="10">
        <v>12.38</v>
      </c>
      <c r="P35" s="198">
        <v>0.20059199999999999</v>
      </c>
      <c r="Q35" s="185">
        <v>0.19720799999999999</v>
      </c>
      <c r="R35" s="173">
        <v>0.18760399999999999</v>
      </c>
      <c r="S35" s="160">
        <v>0.190771</v>
      </c>
      <c r="T35" s="160">
        <v>0.18385199999999999</v>
      </c>
      <c r="U35" s="160">
        <v>0.18629100000000001</v>
      </c>
      <c r="V35" s="63">
        <v>0.123</v>
      </c>
      <c r="W35" s="63">
        <v>0.1231</v>
      </c>
      <c r="X35" s="96">
        <v>12.39</v>
      </c>
      <c r="Y35" s="132">
        <v>12.26</v>
      </c>
      <c r="Z35" s="132">
        <v>12.32</v>
      </c>
      <c r="AA35" s="96">
        <v>12.39</v>
      </c>
      <c r="AB35" s="96">
        <v>12.39</v>
      </c>
      <c r="AC35" s="96">
        <v>12.44</v>
      </c>
      <c r="AD35" s="96">
        <v>12.45</v>
      </c>
      <c r="AE35" s="96">
        <v>12.49</v>
      </c>
      <c r="AF35" s="96">
        <v>12.53</v>
      </c>
      <c r="AG35" s="96">
        <v>12.57</v>
      </c>
      <c r="AH35" s="96">
        <v>12.57</v>
      </c>
      <c r="AI35" s="96">
        <v>12.69</v>
      </c>
      <c r="AJ35" s="96">
        <v>12.72</v>
      </c>
      <c r="AK35" s="96">
        <v>12.91</v>
      </c>
      <c r="AL35" s="96">
        <v>12.75</v>
      </c>
      <c r="AM35" s="96">
        <v>12.79</v>
      </c>
      <c r="AN35" s="96">
        <v>12.91</v>
      </c>
      <c r="AO35" s="96">
        <v>13.15</v>
      </c>
      <c r="AP35" s="96">
        <v>13.14</v>
      </c>
      <c r="AQ35" s="96">
        <v>13.02</v>
      </c>
      <c r="AR35" s="96">
        <v>12.68</v>
      </c>
      <c r="AS35" s="96">
        <v>12.68</v>
      </c>
      <c r="AT35" s="96">
        <v>12.68</v>
      </c>
      <c r="AU35" s="11" t="s">
        <v>233</v>
      </c>
    </row>
    <row r="36" spans="1:48" ht="19.5" customHeight="1" x14ac:dyDescent="0.25">
      <c r="V36" s="2"/>
      <c r="W36" s="2"/>
    </row>
    <row r="37" spans="1:48" ht="15.75" customHeight="1" x14ac:dyDescent="0.25">
      <c r="L37" s="135">
        <f>AVERAGE(L24:L35)</f>
        <v>0.42813133895833327</v>
      </c>
      <c r="M37" s="1">
        <f>SUM(M24:M35)</f>
        <v>1127.3240810616667</v>
      </c>
      <c r="N37" s="1">
        <f>SUM(N24:N35)</f>
        <v>1317.0981093858336</v>
      </c>
      <c r="O37" s="39">
        <f>AVERAGE(O24:O35)/100</f>
        <v>0.18886666666666665</v>
      </c>
      <c r="Q37" s="39">
        <f>AVERAGE(P24:P35)</f>
        <v>0.2347616897230147</v>
      </c>
      <c r="R37" s="39" t="e">
        <f>AVERAGE(#REF!)</f>
        <v>#REF!</v>
      </c>
      <c r="S37" s="39" t="e">
        <f>AVERAGE(#REF!)</f>
        <v>#REF!</v>
      </c>
      <c r="T37" s="39" t="e">
        <f>AVERAGE(#REF!)</f>
        <v>#REF!</v>
      </c>
      <c r="U37" s="39" t="e">
        <f>AVERAGE(#REF!)</f>
        <v>#REF!</v>
      </c>
      <c r="V37" s="39" t="e">
        <f>AVERAGE(#REF!)</f>
        <v>#REF!</v>
      </c>
      <c r="W37" s="39" t="e">
        <f>AVERAGE(#REF!)</f>
        <v>#REF!</v>
      </c>
      <c r="X37" s="39">
        <f t="shared" ref="X37:AT37" si="10">AVERAGE(Q24:Q35)/100</f>
        <v>1.9159545178502133E-3</v>
      </c>
      <c r="Y37" s="39">
        <f t="shared" si="10"/>
        <v>1.8503651056205647E-3</v>
      </c>
      <c r="Z37" s="39">
        <f t="shared" si="10"/>
        <v>1.8940212582438285E-3</v>
      </c>
      <c r="AA37" s="39">
        <f t="shared" si="10"/>
        <v>1.8292222584541063E-3</v>
      </c>
      <c r="AB37" s="39">
        <f t="shared" si="10"/>
        <v>1.8261037814830449E-3</v>
      </c>
      <c r="AC37" s="39">
        <f t="shared" si="10"/>
        <v>1.6348333333333334E-3</v>
      </c>
      <c r="AD37" s="39">
        <f t="shared" si="10"/>
        <v>1.6340000000000003E-3</v>
      </c>
      <c r="AE37" s="39">
        <f t="shared" si="10"/>
        <v>0.1629363636363636</v>
      </c>
      <c r="AF37" s="39">
        <f t="shared" si="10"/>
        <v>0.16289090909090906</v>
      </c>
      <c r="AG37" s="39">
        <f t="shared" si="10"/>
        <v>0.16462727272727273</v>
      </c>
      <c r="AH37" s="39">
        <f t="shared" si="10"/>
        <v>0.16465454545454544</v>
      </c>
      <c r="AI37" s="39">
        <f t="shared" si="10"/>
        <v>0.16137272727272728</v>
      </c>
      <c r="AJ37" s="39">
        <f t="shared" si="10"/>
        <v>0.18380909090909089</v>
      </c>
      <c r="AK37" s="39">
        <f t="shared" si="10"/>
        <v>0.16319999999999996</v>
      </c>
      <c r="AL37" s="39">
        <f t="shared" si="10"/>
        <v>0.16489999999999999</v>
      </c>
      <c r="AM37" s="39">
        <f t="shared" si="10"/>
        <v>0.16883636363636367</v>
      </c>
      <c r="AN37" s="39">
        <f t="shared" si="10"/>
        <v>0.17006363636363633</v>
      </c>
      <c r="AO37" s="39">
        <f t="shared" si="10"/>
        <v>0.16566363636363637</v>
      </c>
      <c r="AP37" s="39">
        <f t="shared" si="10"/>
        <v>0.17319999999999999</v>
      </c>
      <c r="AQ37" s="39">
        <f t="shared" si="10"/>
        <v>0.1730454545454545</v>
      </c>
      <c r="AR37" s="39">
        <f t="shared" si="10"/>
        <v>0.17560909090909088</v>
      </c>
      <c r="AS37" s="39">
        <f t="shared" si="10"/>
        <v>0.18186363636363637</v>
      </c>
      <c r="AT37" s="39">
        <f t="shared" si="10"/>
        <v>0.18145454545454545</v>
      </c>
    </row>
    <row r="38" spans="1:48" ht="15.75" customHeight="1" x14ac:dyDescent="0.35">
      <c r="A38" s="191" t="s">
        <v>73</v>
      </c>
      <c r="B38" s="120"/>
      <c r="C38" s="120"/>
      <c r="D38" s="121"/>
      <c r="E38" s="120"/>
      <c r="F38" s="120"/>
      <c r="G38" s="122"/>
      <c r="H38" s="120"/>
      <c r="I38" s="120"/>
      <c r="J38" s="120"/>
      <c r="K38" s="120"/>
      <c r="L38" s="120"/>
      <c r="M38" s="120"/>
      <c r="N38" s="120"/>
      <c r="O38" s="120"/>
      <c r="P38" s="192"/>
      <c r="Q38" s="183"/>
      <c r="R38" s="170"/>
      <c r="S38" s="158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</row>
    <row r="39" spans="1:48" ht="63" customHeight="1" x14ac:dyDescent="0.25">
      <c r="A39" s="123" t="s">
        <v>164</v>
      </c>
      <c r="B39" s="124" t="s">
        <v>165</v>
      </c>
      <c r="C39" s="123" t="s">
        <v>166</v>
      </c>
      <c r="D39" s="125" t="s">
        <v>167</v>
      </c>
      <c r="E39" s="123" t="s">
        <v>168</v>
      </c>
      <c r="F39" s="123" t="s">
        <v>169</v>
      </c>
      <c r="G39" s="126" t="s">
        <v>170</v>
      </c>
      <c r="H39" s="127" t="s">
        <v>171</v>
      </c>
      <c r="I39" s="123" t="s">
        <v>172</v>
      </c>
      <c r="J39" s="128" t="s">
        <v>173</v>
      </c>
      <c r="K39" s="129" t="s">
        <v>174</v>
      </c>
      <c r="L39" s="38" t="s">
        <v>175</v>
      </c>
      <c r="M39" s="130" t="s">
        <v>176</v>
      </c>
      <c r="N39" s="129" t="s">
        <v>177</v>
      </c>
      <c r="O39" s="131" t="s">
        <v>178</v>
      </c>
      <c r="P39" s="193" t="s">
        <v>234</v>
      </c>
      <c r="Q39" s="190">
        <v>45942</v>
      </c>
      <c r="R39" s="171" t="s">
        <v>183</v>
      </c>
      <c r="S39" s="159" t="s">
        <v>184</v>
      </c>
      <c r="T39" s="98" t="s">
        <v>185</v>
      </c>
      <c r="U39" s="98" t="s">
        <v>186</v>
      </c>
      <c r="V39" t="s">
        <v>187</v>
      </c>
      <c r="W39" t="s">
        <v>188</v>
      </c>
      <c r="X39" t="s">
        <v>189</v>
      </c>
      <c r="Y39" t="s">
        <v>190</v>
      </c>
      <c r="Z39" t="s">
        <v>191</v>
      </c>
      <c r="AA39" t="s">
        <v>192</v>
      </c>
      <c r="AB39" t="s">
        <v>193</v>
      </c>
      <c r="AC39" t="s">
        <v>194</v>
      </c>
      <c r="AD39" t="s">
        <v>195</v>
      </c>
      <c r="AE39" t="s">
        <v>196</v>
      </c>
      <c r="AF39" t="s">
        <v>197</v>
      </c>
      <c r="AG39" t="s">
        <v>198</v>
      </c>
      <c r="AH39" t="s">
        <v>199</v>
      </c>
      <c r="AI39" t="s">
        <v>200</v>
      </c>
      <c r="AJ39" t="s">
        <v>201</v>
      </c>
      <c r="AK39" t="s">
        <v>202</v>
      </c>
      <c r="AL39" t="s">
        <v>203</v>
      </c>
      <c r="AM39" t="s">
        <v>204</v>
      </c>
      <c r="AN39" t="s">
        <v>205</v>
      </c>
      <c r="AO39" t="s">
        <v>206</v>
      </c>
      <c r="AP39" t="s">
        <v>207</v>
      </c>
      <c r="AQ39" s="16">
        <v>45753</v>
      </c>
      <c r="AR39" s="16">
        <v>45746</v>
      </c>
      <c r="AS39" s="16">
        <v>45740</v>
      </c>
      <c r="AT39" s="16">
        <v>45732</v>
      </c>
      <c r="AU39" s="3" t="s">
        <v>11</v>
      </c>
    </row>
    <row r="40" spans="1:48" ht="15.75" customHeight="1" x14ac:dyDescent="0.25">
      <c r="A40" s="194" t="s">
        <v>208</v>
      </c>
      <c r="B40" s="199">
        <v>1060</v>
      </c>
      <c r="C40" s="4">
        <v>9.42</v>
      </c>
      <c r="D40" s="196">
        <v>9.99</v>
      </c>
      <c r="E40" s="4">
        <f t="shared" ref="E40:E46" si="11">D40-C40</f>
        <v>0.57000000000000028</v>
      </c>
      <c r="F40" s="6">
        <f t="shared" ref="F40:F46" si="12">(D40/C40)/100</f>
        <v>1.0605095541401275E-2</v>
      </c>
      <c r="G40" s="7">
        <f t="shared" ref="G40:G46" si="13">B40*D40</f>
        <v>10589.4</v>
      </c>
      <c r="H40" s="8">
        <f t="shared" ref="H40:H46" si="14">B40*C40</f>
        <v>9985.2000000000007</v>
      </c>
      <c r="I40" s="7">
        <f t="shared" ref="I40:I46" si="15">G40-H40</f>
        <v>604.19999999999891</v>
      </c>
      <c r="J40" s="9">
        <v>45880.701817129629</v>
      </c>
      <c r="K40" t="s">
        <v>209</v>
      </c>
      <c r="L40" s="1">
        <f>D40*(P40)/12</f>
        <v>0.12084653250000001</v>
      </c>
      <c r="M40" s="1">
        <f>((B40*C40)*O40/100)/12</f>
        <v>127.97698000000001</v>
      </c>
      <c r="N40" s="163">
        <f t="shared" ref="N40:N46" si="16">(($B40*$D40)*(P40)/12)</f>
        <v>128.09732445</v>
      </c>
      <c r="O40" s="13">
        <v>15.38</v>
      </c>
      <c r="P40" s="197">
        <v>0.14516100000000001</v>
      </c>
      <c r="Q40" s="184">
        <v>0.14501500000000001</v>
      </c>
      <c r="R40" s="172">
        <v>0.14385600000000001</v>
      </c>
      <c r="S40" s="161">
        <v>0.14754100000000001</v>
      </c>
      <c r="T40" s="161">
        <v>0.14257400000000001</v>
      </c>
      <c r="U40" s="161">
        <v>0.141454</v>
      </c>
      <c r="V40" s="63">
        <v>0.14119999999999999</v>
      </c>
      <c r="W40" s="63">
        <v>0.1489</v>
      </c>
      <c r="X40" s="132">
        <v>14.57</v>
      </c>
      <c r="Y40" s="132">
        <v>14.98</v>
      </c>
      <c r="Z40" s="132">
        <v>15.3</v>
      </c>
      <c r="AA40" s="132">
        <v>15.27</v>
      </c>
      <c r="AB40" s="132">
        <v>14.83</v>
      </c>
      <c r="AC40" s="96">
        <v>15.52</v>
      </c>
      <c r="AD40" s="132">
        <v>15.24</v>
      </c>
      <c r="AE40" s="13">
        <v>15.38</v>
      </c>
      <c r="AF40" s="13">
        <v>15.38</v>
      </c>
      <c r="AG40" s="13">
        <v>15.38</v>
      </c>
      <c r="AH40" s="13">
        <v>15.38</v>
      </c>
      <c r="AI40" s="13">
        <v>15.38</v>
      </c>
      <c r="AJ40" s="13">
        <v>15.38</v>
      </c>
      <c r="AK40" s="13">
        <v>15.38</v>
      </c>
      <c r="AL40" s="13">
        <v>15.38</v>
      </c>
      <c r="AM40" s="13">
        <v>15.38</v>
      </c>
      <c r="AN40" s="13">
        <v>15.38</v>
      </c>
      <c r="AO40" s="13">
        <v>15.38</v>
      </c>
      <c r="AP40" s="13">
        <v>15.38</v>
      </c>
      <c r="AQ40" s="13">
        <v>15.38</v>
      </c>
      <c r="AR40" s="13">
        <v>15.38</v>
      </c>
      <c r="AS40" s="13">
        <v>15.38</v>
      </c>
      <c r="AT40" s="13">
        <v>15.38</v>
      </c>
      <c r="AU40" t="s">
        <v>73</v>
      </c>
    </row>
    <row r="41" spans="1:48" ht="15.75" customHeight="1" x14ac:dyDescent="0.25">
      <c r="A41" s="194" t="s">
        <v>210</v>
      </c>
      <c r="B41" s="199">
        <v>400</v>
      </c>
      <c r="C41" s="4">
        <v>12.5</v>
      </c>
      <c r="D41" s="196">
        <v>13.38</v>
      </c>
      <c r="E41" s="4">
        <f t="shared" si="11"/>
        <v>0.88000000000000078</v>
      </c>
      <c r="F41" s="6">
        <f t="shared" si="12"/>
        <v>1.0704E-2</v>
      </c>
      <c r="G41" s="7">
        <f t="shared" si="13"/>
        <v>5352</v>
      </c>
      <c r="H41" s="8">
        <f t="shared" si="14"/>
        <v>5000</v>
      </c>
      <c r="I41" s="7">
        <f t="shared" si="15"/>
        <v>352</v>
      </c>
      <c r="J41" s="9">
        <v>45870.701817129629</v>
      </c>
      <c r="K41" t="s">
        <v>209</v>
      </c>
      <c r="L41" s="1">
        <f>D41*(P41)/12</f>
        <v>0.17231767499999998</v>
      </c>
      <c r="M41" s="1">
        <f>((B41*C41)*O41/100)/12</f>
        <v>66.208333333333329</v>
      </c>
      <c r="N41" s="107">
        <f t="shared" si="16"/>
        <v>68.927070000000001</v>
      </c>
      <c r="O41" s="10">
        <v>15.89</v>
      </c>
      <c r="P41" s="197">
        <v>0.15454499999999999</v>
      </c>
      <c r="Q41" s="184">
        <v>0.157165</v>
      </c>
      <c r="R41" s="173">
        <v>0.161137</v>
      </c>
      <c r="S41" s="160">
        <v>0.169435</v>
      </c>
      <c r="T41" s="160">
        <v>0.16491500000000001</v>
      </c>
      <c r="U41" s="160">
        <v>0.16280900000000001</v>
      </c>
      <c r="V41" s="133">
        <v>0.15970000000000001</v>
      </c>
      <c r="W41" s="133">
        <v>0.1633</v>
      </c>
      <c r="X41" s="96">
        <v>16.37</v>
      </c>
      <c r="Y41" s="96">
        <v>16.23</v>
      </c>
      <c r="Z41" s="96">
        <v>16.55</v>
      </c>
      <c r="AA41" s="96">
        <v>16.399999999999999</v>
      </c>
      <c r="AB41" s="96">
        <v>16</v>
      </c>
      <c r="AC41" s="96">
        <v>16.22</v>
      </c>
      <c r="AD41" s="10">
        <v>15.89</v>
      </c>
      <c r="AE41" s="10">
        <v>15.89</v>
      </c>
      <c r="AF41" s="10">
        <v>15.89</v>
      </c>
      <c r="AG41" s="10">
        <v>15.89</v>
      </c>
      <c r="AH41" s="10">
        <v>15.89</v>
      </c>
      <c r="AI41" s="10">
        <v>15.89</v>
      </c>
      <c r="AJ41" s="10">
        <v>15.89</v>
      </c>
      <c r="AK41" s="10">
        <v>15.89</v>
      </c>
      <c r="AL41" s="10">
        <v>15.89</v>
      </c>
      <c r="AM41" s="10">
        <v>15.89</v>
      </c>
      <c r="AN41" s="10">
        <v>15.89</v>
      </c>
      <c r="AO41" s="10">
        <v>15.89</v>
      </c>
      <c r="AP41" s="10">
        <v>15.89</v>
      </c>
      <c r="AQ41" s="10">
        <v>15.89</v>
      </c>
      <c r="AR41" s="10">
        <v>15.89</v>
      </c>
      <c r="AS41" s="10">
        <v>15.89</v>
      </c>
      <c r="AT41" s="10">
        <v>15.89</v>
      </c>
      <c r="AU41" t="s">
        <v>73</v>
      </c>
    </row>
    <row r="42" spans="1:48" ht="15.75" customHeight="1" x14ac:dyDescent="0.25">
      <c r="A42" s="194" t="s">
        <v>211</v>
      </c>
      <c r="B42" s="199">
        <v>1330</v>
      </c>
      <c r="C42" s="4">
        <v>7.43</v>
      </c>
      <c r="D42" s="196">
        <v>6.06</v>
      </c>
      <c r="E42" s="4">
        <f t="shared" si="11"/>
        <v>-1.37</v>
      </c>
      <c r="F42" s="6">
        <f t="shared" si="12"/>
        <v>8.1561238223418573E-3</v>
      </c>
      <c r="G42" s="7">
        <f t="shared" si="13"/>
        <v>8059.7999999999993</v>
      </c>
      <c r="H42" s="8">
        <f t="shared" si="14"/>
        <v>9881.9</v>
      </c>
      <c r="I42" s="7">
        <f t="shared" si="15"/>
        <v>-1822.1000000000004</v>
      </c>
      <c r="J42" s="14">
        <v>45870.701817129629</v>
      </c>
      <c r="K42" t="s">
        <v>213</v>
      </c>
      <c r="L42" s="1">
        <f>D42*(P42)/12</f>
        <v>0.13953958</v>
      </c>
      <c r="M42" s="1">
        <f>((B42*C42)*O42/100)/12</f>
        <v>125.41778083333332</v>
      </c>
      <c r="N42" s="107">
        <f t="shared" si="16"/>
        <v>185.58764139999997</v>
      </c>
      <c r="O42" s="10">
        <v>15.23</v>
      </c>
      <c r="P42" s="198">
        <v>0.27631600000000001</v>
      </c>
      <c r="Q42" s="185">
        <v>0.253776</v>
      </c>
      <c r="R42" s="173">
        <v>0.24383199999999999</v>
      </c>
      <c r="S42" s="160">
        <v>0.25493199999999999</v>
      </c>
      <c r="T42" s="160">
        <v>0.24</v>
      </c>
      <c r="U42" s="160">
        <v>0.239316</v>
      </c>
      <c r="V42" s="133">
        <v>9.8799999999999999E-2</v>
      </c>
      <c r="W42" s="63">
        <v>6.9800000000000001E-2</v>
      </c>
      <c r="X42" s="96">
        <v>8.1999999999999993</v>
      </c>
      <c r="Y42" s="132">
        <v>7.85</v>
      </c>
      <c r="Z42" s="96">
        <v>8.14</v>
      </c>
      <c r="AA42" s="132">
        <v>8.08</v>
      </c>
      <c r="AB42" s="132">
        <v>8</v>
      </c>
      <c r="AC42" s="96">
        <v>32.4</v>
      </c>
      <c r="AD42" s="15">
        <v>8.08</v>
      </c>
      <c r="AE42" s="15">
        <v>8.08</v>
      </c>
      <c r="AF42" s="15">
        <v>8.08</v>
      </c>
      <c r="AG42" s="15">
        <v>8.08</v>
      </c>
      <c r="AH42" s="15">
        <v>8.08</v>
      </c>
      <c r="AI42" s="15">
        <v>8.08</v>
      </c>
      <c r="AJ42" s="15">
        <v>8.08</v>
      </c>
      <c r="AK42" s="15">
        <v>8.08</v>
      </c>
      <c r="AL42" s="15">
        <v>8.08</v>
      </c>
      <c r="AM42" s="15">
        <v>8.08</v>
      </c>
      <c r="AN42" s="15">
        <v>8.08</v>
      </c>
      <c r="AO42" s="15">
        <v>8.08</v>
      </c>
      <c r="AP42" s="15">
        <v>8.08</v>
      </c>
      <c r="AQ42" s="15">
        <v>8.08</v>
      </c>
      <c r="AR42" s="15">
        <v>8.08</v>
      </c>
      <c r="AS42" s="15">
        <v>8.08</v>
      </c>
      <c r="AT42" s="15">
        <v>8.08</v>
      </c>
      <c r="AU42" t="s">
        <v>73</v>
      </c>
    </row>
    <row r="43" spans="1:48" ht="15.75" customHeight="1" x14ac:dyDescent="0.25">
      <c r="A43" s="194" t="s">
        <v>212</v>
      </c>
      <c r="B43" s="199">
        <v>285</v>
      </c>
      <c r="C43" s="4">
        <v>35.299999999999997</v>
      </c>
      <c r="D43" s="196">
        <v>34.96</v>
      </c>
      <c r="E43" s="4">
        <f t="shared" si="11"/>
        <v>-0.33999999999999631</v>
      </c>
      <c r="F43" s="6">
        <f t="shared" si="12"/>
        <v>9.9036827195467438E-3</v>
      </c>
      <c r="G43" s="7">
        <f t="shared" si="13"/>
        <v>9963.6</v>
      </c>
      <c r="H43" s="8">
        <f t="shared" si="14"/>
        <v>10060.5</v>
      </c>
      <c r="I43" s="7">
        <f t="shared" si="15"/>
        <v>-96.899999999999636</v>
      </c>
      <c r="J43" s="14">
        <v>45898.701817129629</v>
      </c>
      <c r="K43" t="s">
        <v>209</v>
      </c>
      <c r="L43" s="1">
        <f>D43*(P43)/52</f>
        <v>0.20419999999999999</v>
      </c>
      <c r="M43" s="1">
        <f>(((B43*C43)*O43)/100)/12</f>
        <v>245.89538749999997</v>
      </c>
      <c r="N43" s="107">
        <f t="shared" si="16"/>
        <v>252.18700000000001</v>
      </c>
      <c r="O43" s="157">
        <v>29.33</v>
      </c>
      <c r="P43" s="198">
        <v>0.3037299771167048</v>
      </c>
      <c r="Q43" s="185">
        <v>0.30888242142025613</v>
      </c>
      <c r="R43" s="173">
        <v>0.30365712674467782</v>
      </c>
      <c r="S43" s="160">
        <v>0.29924250989259471</v>
      </c>
      <c r="T43" s="160">
        <v>0.29057971014492751</v>
      </c>
      <c r="U43" s="160">
        <v>0.29325453777965388</v>
      </c>
      <c r="V43" s="63">
        <v>0.21820000000000001</v>
      </c>
      <c r="W43" s="133">
        <v>0.22889999999999999</v>
      </c>
      <c r="X43" s="96">
        <v>23.86</v>
      </c>
      <c r="Y43" s="96">
        <v>25.23</v>
      </c>
      <c r="Z43" s="96">
        <v>26.21</v>
      </c>
      <c r="AA43" s="96">
        <v>24.42</v>
      </c>
      <c r="AB43" s="96">
        <v>24.31</v>
      </c>
      <c r="AC43" s="96">
        <v>22.67</v>
      </c>
      <c r="AD43" s="15">
        <v>21.93</v>
      </c>
      <c r="AE43" s="15">
        <v>21.93</v>
      </c>
      <c r="AF43" s="15">
        <v>21.93</v>
      </c>
      <c r="AG43" s="15">
        <v>21.93</v>
      </c>
      <c r="AH43" s="15">
        <v>21.93</v>
      </c>
      <c r="AI43" s="15">
        <v>21.93</v>
      </c>
      <c r="AJ43" s="15">
        <v>21.93</v>
      </c>
      <c r="AK43" s="15">
        <v>21.93</v>
      </c>
      <c r="AL43" s="15">
        <v>21.93</v>
      </c>
      <c r="AM43" s="15">
        <v>21.93</v>
      </c>
      <c r="AN43" s="15">
        <v>21.93</v>
      </c>
      <c r="AO43" s="15">
        <v>21.93</v>
      </c>
      <c r="AP43" s="15">
        <v>21.93</v>
      </c>
      <c r="AQ43" s="15">
        <v>21.93</v>
      </c>
      <c r="AR43" s="15">
        <v>21.93</v>
      </c>
      <c r="AS43" s="15">
        <v>21.93</v>
      </c>
      <c r="AT43" s="15">
        <v>21.93</v>
      </c>
      <c r="AU43" t="s">
        <v>73</v>
      </c>
    </row>
    <row r="44" spans="1:48" ht="15.75" customHeight="1" x14ac:dyDescent="0.25">
      <c r="A44" s="194" t="s">
        <v>214</v>
      </c>
      <c r="B44" s="194">
        <v>134</v>
      </c>
      <c r="C44" s="4">
        <v>53.92</v>
      </c>
      <c r="D44" s="200">
        <v>54.48</v>
      </c>
      <c r="E44" s="4">
        <f t="shared" si="11"/>
        <v>0.55999999999999517</v>
      </c>
      <c r="F44" s="6">
        <f t="shared" si="12"/>
        <v>1.0103857566765578E-2</v>
      </c>
      <c r="G44" s="7">
        <f t="shared" si="13"/>
        <v>7300.32</v>
      </c>
      <c r="H44" s="8">
        <f t="shared" si="14"/>
        <v>7225.2800000000007</v>
      </c>
      <c r="I44" s="7">
        <f t="shared" si="15"/>
        <v>75.039999999999054</v>
      </c>
      <c r="J44" s="9">
        <v>45922</v>
      </c>
      <c r="K44" t="s">
        <v>209</v>
      </c>
      <c r="L44" s="1">
        <f>D44*(P44)/52</f>
        <v>0.6411</v>
      </c>
      <c r="M44" s="1">
        <f>((B44*C44)*O44/100)/12</f>
        <v>82.488613333333333</v>
      </c>
      <c r="N44" s="107">
        <f t="shared" si="16"/>
        <v>372.26540000000006</v>
      </c>
      <c r="O44" s="10">
        <v>13.7</v>
      </c>
      <c r="P44" s="198">
        <v>0.61191629955947147</v>
      </c>
      <c r="Q44" s="185">
        <v>0.13800000000000001</v>
      </c>
      <c r="R44" s="172">
        <v>0.135105</v>
      </c>
      <c r="S44" s="162">
        <v>0.13714199999999999</v>
      </c>
    </row>
    <row r="45" spans="1:48" ht="15.75" customHeight="1" x14ac:dyDescent="0.25">
      <c r="A45" s="194" t="s">
        <v>235</v>
      </c>
      <c r="B45" s="194">
        <v>64</v>
      </c>
      <c r="C45" s="4">
        <v>47.15</v>
      </c>
      <c r="D45" s="200">
        <v>45.46</v>
      </c>
      <c r="E45" s="4">
        <f t="shared" si="11"/>
        <v>-1.6899999999999977</v>
      </c>
      <c r="F45" s="6">
        <f t="shared" si="12"/>
        <v>9.6415694591728534E-3</v>
      </c>
      <c r="G45" s="7">
        <f t="shared" si="13"/>
        <v>2909.44</v>
      </c>
      <c r="H45" s="8">
        <f t="shared" si="14"/>
        <v>3017.6</v>
      </c>
      <c r="I45" s="7">
        <f t="shared" si="15"/>
        <v>-108.15999999999985</v>
      </c>
      <c r="J45" s="14">
        <v>45944</v>
      </c>
      <c r="K45" t="s">
        <v>213</v>
      </c>
      <c r="L45" s="1">
        <f>D45*(P45)/52</f>
        <v>0.36629999999999985</v>
      </c>
      <c r="M45" s="1">
        <f>(((B45*C45)*O45)/100)/12</f>
        <v>120.42738666666666</v>
      </c>
      <c r="N45" s="107">
        <f t="shared" si="16"/>
        <v>101.58719999999995</v>
      </c>
      <c r="O45">
        <v>47.89</v>
      </c>
      <c r="P45" s="197">
        <v>0.41899692036955549</v>
      </c>
      <c r="Q45" s="185">
        <v>0.47894242988282992</v>
      </c>
    </row>
    <row r="46" spans="1:48" ht="21" customHeight="1" x14ac:dyDescent="0.25">
      <c r="A46" s="194" t="s">
        <v>215</v>
      </c>
      <c r="B46" s="194">
        <v>62</v>
      </c>
      <c r="C46" s="4">
        <v>48.7</v>
      </c>
      <c r="D46" s="200">
        <v>46.33</v>
      </c>
      <c r="E46" s="4">
        <f t="shared" si="11"/>
        <v>-2.3700000000000045</v>
      </c>
      <c r="F46" s="6">
        <f t="shared" si="12"/>
        <v>9.513347022587269E-3</v>
      </c>
      <c r="G46" s="7">
        <f t="shared" si="13"/>
        <v>2872.46</v>
      </c>
      <c r="H46" s="8">
        <f t="shared" si="14"/>
        <v>3019.4</v>
      </c>
      <c r="I46" s="7">
        <f t="shared" si="15"/>
        <v>-146.94000000000005</v>
      </c>
      <c r="J46" s="14">
        <v>45944</v>
      </c>
      <c r="K46" t="s">
        <v>213</v>
      </c>
      <c r="L46" s="1">
        <f>D46*(P46)/52</f>
        <v>0.65629999999999999</v>
      </c>
      <c r="M46" s="1">
        <f>(((B46*C46)*O46)/100)/12</f>
        <v>211.93671833333335</v>
      </c>
      <c r="N46" s="107">
        <f t="shared" si="16"/>
        <v>176.32593333333338</v>
      </c>
      <c r="O46">
        <v>84.23</v>
      </c>
      <c r="P46" s="197">
        <v>0.73661990071228156</v>
      </c>
      <c r="Q46" s="185">
        <v>0.84234047063811734</v>
      </c>
    </row>
    <row r="47" spans="1:48" ht="20.25" customHeight="1" x14ac:dyDescent="0.25">
      <c r="V47" s="2"/>
      <c r="W47" s="2"/>
    </row>
    <row r="48" spans="1:48" ht="19.5" customHeight="1" x14ac:dyDescent="0.25">
      <c r="L48" s="135">
        <f>AVERAGE(L40:L43)</f>
        <v>0.159225946875</v>
      </c>
      <c r="M48" s="1">
        <f>SUM(M40:M43)</f>
        <v>565.49848166666663</v>
      </c>
      <c r="N48" s="1">
        <f>SUM(N40:N43)</f>
        <v>634.79903585</v>
      </c>
      <c r="O48" s="39">
        <f>AVERAGE(O40:O46)/100</f>
        <v>0.31664285714285717</v>
      </c>
      <c r="Q48" s="39">
        <f>AVERAGE(P40:P46)</f>
        <v>0.37818358539400193</v>
      </c>
      <c r="R48" s="39" t="e">
        <f>AVERAGE(#REF!)</f>
        <v>#REF!</v>
      </c>
      <c r="S48" s="39" t="e">
        <f>AVERAGE(#REF!)</f>
        <v>#REF!</v>
      </c>
      <c r="T48" s="39" t="e">
        <f>AVERAGE(#REF!)</f>
        <v>#REF!</v>
      </c>
      <c r="U48" s="39">
        <f>AVERAGE(Q40:Q46)</f>
        <v>0.33201733170588621</v>
      </c>
      <c r="V48" s="39">
        <f>AVERAGE(R40:R46)</f>
        <v>0.19751742534893557</v>
      </c>
      <c r="W48" s="39">
        <f>AVERAGE(S40:S46)</f>
        <v>0.20165850197851895</v>
      </c>
      <c r="X48" s="39">
        <f t="shared" ref="X48:AT48" si="17">AVERAGE(T40:T46)/100</f>
        <v>2.0951717753623189E-3</v>
      </c>
      <c r="Y48" s="39">
        <f t="shared" si="17"/>
        <v>2.0920838444491345E-3</v>
      </c>
      <c r="Z48" s="39">
        <f t="shared" si="17"/>
        <v>1.5447500000000001E-3</v>
      </c>
      <c r="AA48" s="39">
        <f t="shared" si="17"/>
        <v>1.52725E-3</v>
      </c>
      <c r="AB48" s="39">
        <f t="shared" si="17"/>
        <v>0.1575</v>
      </c>
      <c r="AC48" s="39">
        <f t="shared" si="17"/>
        <v>0.16072500000000001</v>
      </c>
      <c r="AD48" s="39">
        <f t="shared" si="17"/>
        <v>0.16550000000000001</v>
      </c>
      <c r="AE48" s="39">
        <f t="shared" si="17"/>
        <v>0.16042500000000001</v>
      </c>
      <c r="AF48" s="39">
        <f t="shared" si="17"/>
        <v>0.15784999999999999</v>
      </c>
      <c r="AG48" s="39">
        <f t="shared" si="17"/>
        <v>0.217025</v>
      </c>
      <c r="AH48" s="39">
        <f t="shared" si="17"/>
        <v>0.15285000000000001</v>
      </c>
      <c r="AI48" s="39">
        <f t="shared" si="17"/>
        <v>0.1532</v>
      </c>
      <c r="AJ48" s="39">
        <f t="shared" si="17"/>
        <v>0.1532</v>
      </c>
      <c r="AK48" s="39">
        <f t="shared" si="17"/>
        <v>0.1532</v>
      </c>
      <c r="AL48" s="39">
        <f t="shared" si="17"/>
        <v>0.1532</v>
      </c>
      <c r="AM48" s="39">
        <f t="shared" si="17"/>
        <v>0.1532</v>
      </c>
      <c r="AN48" s="39">
        <f t="shared" si="17"/>
        <v>0.1532</v>
      </c>
      <c r="AO48" s="39">
        <f t="shared" si="17"/>
        <v>0.1532</v>
      </c>
      <c r="AP48" s="39">
        <f t="shared" si="17"/>
        <v>0.1532</v>
      </c>
      <c r="AQ48" s="39">
        <f t="shared" si="17"/>
        <v>0.1532</v>
      </c>
      <c r="AR48" s="39">
        <f t="shared" si="17"/>
        <v>0.1532</v>
      </c>
      <c r="AS48" s="39">
        <f t="shared" si="17"/>
        <v>0.1532</v>
      </c>
      <c r="AT48" s="39">
        <f t="shared" si="17"/>
        <v>0.1532</v>
      </c>
    </row>
    <row r="49" spans="1:48" ht="15.75" customHeight="1" x14ac:dyDescent="0.35">
      <c r="A49" s="191" t="s">
        <v>89</v>
      </c>
      <c r="B49" s="120"/>
      <c r="C49" s="120"/>
      <c r="D49" s="121"/>
      <c r="E49" s="120"/>
      <c r="F49" s="120"/>
      <c r="G49" s="122"/>
      <c r="H49" s="120"/>
      <c r="I49" s="120"/>
      <c r="J49" s="120"/>
      <c r="K49" s="120"/>
      <c r="L49" s="120"/>
      <c r="M49" s="120"/>
      <c r="N49" s="120"/>
      <c r="O49" s="120"/>
      <c r="P49" s="192"/>
      <c r="Q49" s="183"/>
      <c r="R49" s="170"/>
      <c r="S49" s="15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</row>
    <row r="50" spans="1:48" ht="48.75" customHeight="1" x14ac:dyDescent="0.25">
      <c r="A50" s="123" t="s">
        <v>164</v>
      </c>
      <c r="B50" s="124" t="s">
        <v>165</v>
      </c>
      <c r="C50" s="123" t="s">
        <v>166</v>
      </c>
      <c r="D50" s="125" t="s">
        <v>167</v>
      </c>
      <c r="E50" s="123" t="s">
        <v>168</v>
      </c>
      <c r="F50" s="123" t="s">
        <v>169</v>
      </c>
      <c r="G50" s="126" t="s">
        <v>170</v>
      </c>
      <c r="H50" s="127" t="s">
        <v>171</v>
      </c>
      <c r="I50" s="123" t="s">
        <v>172</v>
      </c>
      <c r="J50" s="128" t="s">
        <v>173</v>
      </c>
      <c r="K50" s="129" t="s">
        <v>174</v>
      </c>
      <c r="L50" s="38" t="s">
        <v>175</v>
      </c>
      <c r="M50" s="130" t="s">
        <v>176</v>
      </c>
      <c r="N50" s="129" t="s">
        <v>177</v>
      </c>
      <c r="O50" s="131" t="s">
        <v>178</v>
      </c>
      <c r="P50" s="193" t="s">
        <v>234</v>
      </c>
      <c r="Q50" s="190">
        <v>45942</v>
      </c>
      <c r="R50" s="171" t="s">
        <v>183</v>
      </c>
      <c r="S50" s="159" t="s">
        <v>184</v>
      </c>
      <c r="T50" s="98" t="s">
        <v>185</v>
      </c>
      <c r="U50" s="98" t="s">
        <v>186</v>
      </c>
      <c r="V50" t="s">
        <v>187</v>
      </c>
      <c r="W50" t="s">
        <v>188</v>
      </c>
      <c r="X50" t="s">
        <v>189</v>
      </c>
      <c r="Y50" t="s">
        <v>190</v>
      </c>
      <c r="Z50" t="s">
        <v>191</v>
      </c>
      <c r="AA50" t="s">
        <v>192</v>
      </c>
      <c r="AB50" t="s">
        <v>193</v>
      </c>
      <c r="AC50" t="s">
        <v>194</v>
      </c>
      <c r="AD50" t="s">
        <v>195</v>
      </c>
      <c r="AE50" t="s">
        <v>196</v>
      </c>
      <c r="AF50" t="s">
        <v>197</v>
      </c>
      <c r="AG50" t="s">
        <v>198</v>
      </c>
      <c r="AH50" t="s">
        <v>199</v>
      </c>
      <c r="AI50" t="s">
        <v>200</v>
      </c>
      <c r="AJ50" t="s">
        <v>201</v>
      </c>
      <c r="AK50" t="s">
        <v>202</v>
      </c>
      <c r="AL50" t="s">
        <v>203</v>
      </c>
      <c r="AM50" t="s">
        <v>204</v>
      </c>
      <c r="AN50" t="s">
        <v>205</v>
      </c>
      <c r="AO50" t="s">
        <v>206</v>
      </c>
      <c r="AP50" t="s">
        <v>207</v>
      </c>
      <c r="AQ50" s="16">
        <v>45753</v>
      </c>
      <c r="AR50" s="16">
        <v>45746</v>
      </c>
      <c r="AS50" s="16">
        <v>45740</v>
      </c>
      <c r="AT50" s="16">
        <v>45732</v>
      </c>
      <c r="AU50" s="3" t="s">
        <v>11</v>
      </c>
    </row>
    <row r="51" spans="1:48" ht="15.75" customHeight="1" x14ac:dyDescent="0.25">
      <c r="A51" s="194" t="s">
        <v>210</v>
      </c>
      <c r="B51" s="195">
        <v>125</v>
      </c>
      <c r="C51" s="4">
        <v>12.62</v>
      </c>
      <c r="D51" s="196">
        <v>13.38</v>
      </c>
      <c r="E51" s="5">
        <v>-0.02</v>
      </c>
      <c r="F51" s="6">
        <v>5.2499999999999998E-2</v>
      </c>
      <c r="G51" s="7">
        <v>1577.5</v>
      </c>
      <c r="H51" s="8">
        <v>1488.75</v>
      </c>
      <c r="I51" s="7">
        <v>88.75</v>
      </c>
      <c r="J51" s="9">
        <v>45870.701817129629</v>
      </c>
      <c r="K51" t="s">
        <v>209</v>
      </c>
      <c r="L51" s="1">
        <f>D51*(P51)/52</f>
        <v>3.9765617307692305E-2</v>
      </c>
      <c r="M51" s="1">
        <f>(((B51*C51)*O51)/100)/12</f>
        <v>20.888729166666668</v>
      </c>
      <c r="N51" s="107">
        <f>(($B51*$D51)*(P51)/12)</f>
        <v>21.539709374999997</v>
      </c>
      <c r="O51" s="10">
        <v>15.89</v>
      </c>
      <c r="P51" s="197">
        <v>0.15454499999999999</v>
      </c>
      <c r="Q51" s="184">
        <v>0.157165</v>
      </c>
      <c r="R51" s="173">
        <v>0.161137</v>
      </c>
      <c r="S51" s="160">
        <v>0.169435</v>
      </c>
      <c r="T51" s="160">
        <v>0.16491500000000001</v>
      </c>
      <c r="U51" s="160">
        <v>0.16280900000000001</v>
      </c>
      <c r="V51" s="133">
        <v>0.15970000000000001</v>
      </c>
      <c r="W51" s="133">
        <v>0.1633</v>
      </c>
      <c r="X51" s="96">
        <v>16.37</v>
      </c>
      <c r="Y51" s="96">
        <v>16.23</v>
      </c>
      <c r="Z51" s="96">
        <v>16.55</v>
      </c>
      <c r="AA51" s="96">
        <v>16.399999999999999</v>
      </c>
      <c r="AB51" s="96">
        <v>16</v>
      </c>
      <c r="AC51" s="96">
        <v>16.22</v>
      </c>
      <c r="AD51" s="10">
        <v>15.89</v>
      </c>
      <c r="AE51" s="10">
        <v>15.89</v>
      </c>
      <c r="AF51" s="10">
        <v>15.89</v>
      </c>
      <c r="AG51" s="10">
        <v>15.89</v>
      </c>
      <c r="AH51" s="10">
        <v>15.89</v>
      </c>
      <c r="AI51" s="10">
        <v>15.89</v>
      </c>
      <c r="AJ51" s="10">
        <v>15.89</v>
      </c>
      <c r="AK51" s="10">
        <v>15.89</v>
      </c>
      <c r="AL51" s="10">
        <v>15.89</v>
      </c>
      <c r="AM51" s="10">
        <v>15.89</v>
      </c>
      <c r="AN51" s="10">
        <v>15.89</v>
      </c>
      <c r="AO51" s="10">
        <v>15.89</v>
      </c>
      <c r="AP51" s="10">
        <v>15.89</v>
      </c>
      <c r="AQ51" s="10">
        <v>15.89</v>
      </c>
      <c r="AR51" s="10">
        <v>15.89</v>
      </c>
      <c r="AS51" s="10">
        <v>15.89</v>
      </c>
      <c r="AT51" s="10">
        <v>15.89</v>
      </c>
      <c r="AU51" s="11" t="s">
        <v>217</v>
      </c>
    </row>
    <row r="52" spans="1:48" ht="15.75" customHeight="1" x14ac:dyDescent="0.25">
      <c r="A52" s="194" t="s">
        <v>212</v>
      </c>
      <c r="B52" s="195">
        <v>28</v>
      </c>
      <c r="C52" s="4">
        <v>34.79</v>
      </c>
      <c r="D52" s="196">
        <v>34.96</v>
      </c>
      <c r="E52" s="5">
        <v>-0.02</v>
      </c>
      <c r="F52" s="6">
        <v>1.6999999999999999E-3</v>
      </c>
      <c r="G52" s="7">
        <v>974.12</v>
      </c>
      <c r="H52" s="8">
        <v>987.28</v>
      </c>
      <c r="I52" s="7">
        <v>-13.16</v>
      </c>
      <c r="J52" s="14">
        <v>45870.701817129629</v>
      </c>
      <c r="K52" t="s">
        <v>213</v>
      </c>
      <c r="L52" s="1">
        <f>D52*(P52)/52</f>
        <v>0.20419999999999999</v>
      </c>
      <c r="M52" s="1">
        <f>(((B52*C52)*O52)/100)/12</f>
        <v>17.802043000000001</v>
      </c>
      <c r="N52" s="107">
        <f>(($B52*$D52)*(P52)/12)</f>
        <v>24.776266666666668</v>
      </c>
      <c r="O52" s="15">
        <v>21.93</v>
      </c>
      <c r="P52" s="198">
        <v>0.3037299771167048</v>
      </c>
      <c r="Q52" s="185">
        <v>0.30888242142025613</v>
      </c>
      <c r="R52" s="173">
        <v>0.30365712674467782</v>
      </c>
      <c r="S52" s="160">
        <v>0.29924250989259471</v>
      </c>
      <c r="T52" s="160">
        <v>0.29057971014492751</v>
      </c>
      <c r="U52" s="160">
        <v>0.29325453777965388</v>
      </c>
      <c r="V52" s="133">
        <v>9.8799999999999999E-2</v>
      </c>
      <c r="W52" s="63">
        <v>6.9800000000000001E-2</v>
      </c>
      <c r="X52" s="96">
        <v>8.1999999999999993</v>
      </c>
      <c r="Y52" s="132">
        <v>7.85</v>
      </c>
      <c r="Z52" s="96">
        <v>8.14</v>
      </c>
      <c r="AA52" s="132">
        <v>8.08</v>
      </c>
      <c r="AB52" s="132">
        <v>8</v>
      </c>
      <c r="AC52" s="96">
        <v>32.4</v>
      </c>
      <c r="AD52" s="15">
        <v>8.08</v>
      </c>
      <c r="AE52" s="15">
        <v>8.08</v>
      </c>
      <c r="AF52" s="15">
        <v>8.08</v>
      </c>
      <c r="AG52" s="15">
        <v>8.08</v>
      </c>
      <c r="AH52" s="15">
        <v>8.08</v>
      </c>
      <c r="AI52" s="15">
        <v>8.08</v>
      </c>
      <c r="AJ52" s="15">
        <v>8.08</v>
      </c>
      <c r="AK52" s="15">
        <v>8.08</v>
      </c>
      <c r="AL52" s="15">
        <v>8.08</v>
      </c>
      <c r="AM52" s="15">
        <v>8.08</v>
      </c>
      <c r="AN52" s="15">
        <v>8.08</v>
      </c>
      <c r="AO52" s="15">
        <v>8.08</v>
      </c>
      <c r="AP52" s="15">
        <v>8.08</v>
      </c>
      <c r="AQ52" s="15">
        <v>8.08</v>
      </c>
      <c r="AR52" s="15">
        <v>8.08</v>
      </c>
      <c r="AS52" s="15">
        <v>8.08</v>
      </c>
      <c r="AT52" s="15">
        <v>8.08</v>
      </c>
      <c r="AU52" s="11" t="s">
        <v>217</v>
      </c>
    </row>
    <row r="53" spans="1:48" x14ac:dyDescent="0.25">
      <c r="V53" s="2"/>
      <c r="W53" s="2"/>
    </row>
    <row r="54" spans="1:48" x14ac:dyDescent="0.25">
      <c r="L54" s="135">
        <f>AVERAGE(L46:L49)</f>
        <v>0.40776297343750001</v>
      </c>
      <c r="M54" s="1">
        <f>SUM(M51:M52)</f>
        <v>38.690772166666669</v>
      </c>
      <c r="N54" s="1">
        <f>SUM(N51:N52)</f>
        <v>46.315976041666666</v>
      </c>
      <c r="O54" s="39">
        <f>AVERAGE(O51:O52)/100</f>
        <v>0.18909999999999999</v>
      </c>
      <c r="Q54" s="39">
        <f>AVERAGE(P51:P52)</f>
        <v>0.22913748855835239</v>
      </c>
      <c r="R54" s="39" t="e">
        <f>AVERAGE(#REF!)</f>
        <v>#REF!</v>
      </c>
      <c r="S54" s="39" t="e">
        <f>AVERAGE(#REF!)</f>
        <v>#REF!</v>
      </c>
      <c r="T54" s="39" t="e">
        <f>AVERAGE(#REF!)</f>
        <v>#REF!</v>
      </c>
      <c r="U54" s="39">
        <f>AVERAGE(Q51:Q52)</f>
        <v>0.23302371071012806</v>
      </c>
      <c r="V54" s="39">
        <f>AVERAGE(R51:R52)</f>
        <v>0.2323970633723389</v>
      </c>
      <c r="W54" s="39">
        <f>AVERAGE(S51:S52)</f>
        <v>0.23433875494629736</v>
      </c>
      <c r="X54" s="39">
        <f t="shared" ref="X54:AT54" si="18">AVERAGE(T51:T52)/100</f>
        <v>2.2774735507246372E-3</v>
      </c>
      <c r="Y54" s="39">
        <f t="shared" si="18"/>
        <v>2.2803176888982696E-3</v>
      </c>
      <c r="Z54" s="39">
        <f t="shared" si="18"/>
        <v>1.2925E-3</v>
      </c>
      <c r="AA54" s="39">
        <f t="shared" si="18"/>
        <v>1.1655000000000001E-3</v>
      </c>
      <c r="AB54" s="39">
        <f t="shared" si="18"/>
        <v>0.12285</v>
      </c>
      <c r="AC54" s="39">
        <f t="shared" si="18"/>
        <v>0.12039999999999999</v>
      </c>
      <c r="AD54" s="39">
        <f t="shared" si="18"/>
        <v>0.12345</v>
      </c>
      <c r="AE54" s="39">
        <f t="shared" si="18"/>
        <v>0.12239999999999998</v>
      </c>
      <c r="AF54" s="39">
        <f t="shared" si="18"/>
        <v>0.12</v>
      </c>
      <c r="AG54" s="39">
        <f t="shared" si="18"/>
        <v>0.24309999999999998</v>
      </c>
      <c r="AH54" s="39">
        <f t="shared" si="18"/>
        <v>0.11985</v>
      </c>
      <c r="AI54" s="39">
        <f t="shared" si="18"/>
        <v>0.11985</v>
      </c>
      <c r="AJ54" s="39">
        <f t="shared" si="18"/>
        <v>0.11985</v>
      </c>
      <c r="AK54" s="39">
        <f t="shared" si="18"/>
        <v>0.11985</v>
      </c>
      <c r="AL54" s="39">
        <f t="shared" si="18"/>
        <v>0.11985</v>
      </c>
      <c r="AM54" s="39">
        <f t="shared" si="18"/>
        <v>0.11985</v>
      </c>
      <c r="AN54" s="39">
        <f t="shared" si="18"/>
        <v>0.11985</v>
      </c>
      <c r="AO54" s="39">
        <f t="shared" si="18"/>
        <v>0.11985</v>
      </c>
      <c r="AP54" s="39">
        <f t="shared" si="18"/>
        <v>0.11985</v>
      </c>
      <c r="AQ54" s="39">
        <f t="shared" si="18"/>
        <v>0.11985</v>
      </c>
      <c r="AR54" s="39">
        <f t="shared" si="18"/>
        <v>0.11985</v>
      </c>
      <c r="AS54" s="39">
        <f t="shared" si="18"/>
        <v>0.11985</v>
      </c>
      <c r="AT54" s="39">
        <f t="shared" si="18"/>
        <v>0.11985</v>
      </c>
    </row>
  </sheetData>
  <conditionalFormatting sqref="G3:G19 G24 G33 G35">
    <cfRule type="expression" dxfId="33" priority="37">
      <formula>$G3 &lt; $H3</formula>
    </cfRule>
    <cfRule type="expression" dxfId="32" priority="38">
      <formula>$G3 &gt; $H3</formula>
    </cfRule>
  </conditionalFormatting>
  <conditionalFormatting sqref="G28:G31">
    <cfRule type="expression" dxfId="31" priority="33">
      <formula>$G28 &lt; $H28</formula>
    </cfRule>
    <cfRule type="expression" dxfId="30" priority="34">
      <formula>$G28 &gt; $H28</formula>
    </cfRule>
  </conditionalFormatting>
  <conditionalFormatting sqref="G40:G46">
    <cfRule type="expression" dxfId="29" priority="12">
      <formula>$G40 &lt; $H40</formula>
    </cfRule>
    <cfRule type="expression" dxfId="28" priority="13">
      <formula>$G40 &gt; $H40</formula>
    </cfRule>
  </conditionalFormatting>
  <conditionalFormatting sqref="I3:I19 I24 I33 I35">
    <cfRule type="expression" dxfId="27" priority="39">
      <formula>$I3 &gt; 0</formula>
    </cfRule>
    <cfRule type="expression" dxfId="26" priority="40">
      <formula>$I3 &lt; 0</formula>
    </cfRule>
  </conditionalFormatting>
  <conditionalFormatting sqref="I28:I31">
    <cfRule type="expression" dxfId="25" priority="35">
      <formula>$I28 &gt; 0</formula>
    </cfRule>
    <cfRule type="expression" dxfId="24" priority="36">
      <formula>$I28 &lt; 0</formula>
    </cfRule>
  </conditionalFormatting>
  <conditionalFormatting sqref="I40:I46">
    <cfRule type="expression" dxfId="23" priority="14">
      <formula>$I40 &gt; 0</formula>
    </cfRule>
    <cfRule type="expression" dxfId="22" priority="15">
      <formula>$I40 &lt; 0</formula>
    </cfRule>
  </conditionalFormatting>
  <conditionalFormatting sqref="N3:N19">
    <cfRule type="expression" dxfId="21" priority="31">
      <formula>N3&lt;M3</formula>
    </cfRule>
    <cfRule type="expression" dxfId="20" priority="32">
      <formula>N3&gt;M3</formula>
    </cfRule>
  </conditionalFormatting>
  <conditionalFormatting sqref="N24:N35">
    <cfRule type="expression" dxfId="19" priority="29">
      <formula>N24&lt;M24</formula>
    </cfRule>
    <cfRule type="expression" dxfId="18" priority="30">
      <formula>N24&gt;M24</formula>
    </cfRule>
  </conditionalFormatting>
  <conditionalFormatting sqref="N40:N46">
    <cfRule type="expression" dxfId="17" priority="27">
      <formula>N40&lt;M40</formula>
    </cfRule>
    <cfRule type="expression" dxfId="16" priority="28">
      <formula>N40&gt;M40</formula>
    </cfRule>
  </conditionalFormatting>
  <conditionalFormatting sqref="N49">
    <cfRule type="expression" dxfId="15" priority="20">
      <formula>N49&lt;M49</formula>
    </cfRule>
    <cfRule type="expression" dxfId="14" priority="21">
      <formula>N49&gt;M49</formula>
    </cfRule>
  </conditionalFormatting>
  <conditionalFormatting sqref="N51:N52">
    <cfRule type="expression" dxfId="13" priority="1">
      <formula>N51&lt;M51</formula>
    </cfRule>
    <cfRule type="expression" dxfId="12" priority="2">
      <formula>N51&gt;M51</formula>
    </cfRule>
  </conditionalFormatting>
  <conditionalFormatting sqref="P26 P33 P35">
    <cfRule type="expression" dxfId="11" priority="22">
      <formula>P26=#REF!</formula>
    </cfRule>
    <cfRule type="expression" dxfId="10" priority="23">
      <formula>P26&gt;#REF!</formula>
    </cfRule>
    <cfRule type="expression" dxfId="9" priority="24">
      <formula>P26&lt;#REF!</formula>
    </cfRule>
  </conditionalFormatting>
  <conditionalFormatting sqref="P45:P46">
    <cfRule type="expression" dxfId="8" priority="3">
      <formula>O45&lt;P45</formula>
    </cfRule>
    <cfRule type="expression" dxfId="7" priority="4">
      <formula>O45&gt;P45</formula>
    </cfRule>
    <cfRule type="expression" dxfId="6" priority="5">
      <formula>O45=P45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8"/>
  <sheetViews>
    <sheetView workbookViewId="0">
      <selection activeCell="A46" sqref="A46"/>
    </sheetView>
  </sheetViews>
  <sheetFormatPr defaultRowHeight="15" x14ac:dyDescent="0.25"/>
  <cols>
    <col min="1" max="21" width="15" customWidth="1"/>
  </cols>
  <sheetData>
    <row r="1" spans="1:21" x14ac:dyDescent="0.25">
      <c r="A1" s="95" t="s">
        <v>164</v>
      </c>
      <c r="B1" s="95" t="s">
        <v>11</v>
      </c>
      <c r="C1" s="95" t="s">
        <v>165</v>
      </c>
      <c r="D1" s="95" t="s">
        <v>166</v>
      </c>
      <c r="E1" s="95" t="s">
        <v>236</v>
      </c>
      <c r="F1" s="95" t="s">
        <v>237</v>
      </c>
      <c r="G1" s="95" t="s">
        <v>238</v>
      </c>
      <c r="H1" s="95" t="s">
        <v>169</v>
      </c>
      <c r="I1" s="95" t="s">
        <v>170</v>
      </c>
      <c r="J1" s="95" t="s">
        <v>171</v>
      </c>
      <c r="K1" s="95" t="s">
        <v>239</v>
      </c>
      <c r="L1" s="95" t="s">
        <v>240</v>
      </c>
      <c r="M1" s="95" t="s">
        <v>241</v>
      </c>
      <c r="N1" s="95" t="s">
        <v>242</v>
      </c>
      <c r="O1" s="95" t="s">
        <v>243</v>
      </c>
      <c r="P1" s="95" t="s">
        <v>244</v>
      </c>
      <c r="Q1" s="95" t="s">
        <v>245</v>
      </c>
      <c r="R1" s="95" t="s">
        <v>246</v>
      </c>
      <c r="S1" s="95" t="s">
        <v>247</v>
      </c>
      <c r="T1" s="95" t="s">
        <v>248</v>
      </c>
      <c r="U1" s="95" t="s">
        <v>249</v>
      </c>
    </row>
    <row r="2" spans="1:21" x14ac:dyDescent="0.25">
      <c r="A2" t="s">
        <v>210</v>
      </c>
      <c r="B2" t="s">
        <v>217</v>
      </c>
      <c r="C2">
        <v>125</v>
      </c>
      <c r="D2" s="1">
        <v>11.91</v>
      </c>
      <c r="E2" s="1">
        <v>12.53</v>
      </c>
      <c r="F2" s="1">
        <v>-8.75</v>
      </c>
      <c r="G2" s="1">
        <v>-7.0000000000000007E-2</v>
      </c>
      <c r="H2" s="2">
        <v>-0.52</v>
      </c>
      <c r="I2" s="1">
        <v>1566.25</v>
      </c>
      <c r="J2" s="1">
        <v>1488.75</v>
      </c>
      <c r="K2" s="1">
        <v>77.5</v>
      </c>
      <c r="L2" s="2">
        <v>5.2057094878253567</v>
      </c>
      <c r="M2" t="s">
        <v>209</v>
      </c>
      <c r="N2" s="1">
        <v>0.17</v>
      </c>
      <c r="O2" s="1">
        <v>21.25</v>
      </c>
      <c r="P2" s="1">
        <v>255</v>
      </c>
      <c r="Q2" s="2">
        <v>14.62</v>
      </c>
      <c r="R2" s="2">
        <v>14.3276</v>
      </c>
      <c r="S2" s="2">
        <v>0.29240000000000071</v>
      </c>
      <c r="T2" s="96" t="s">
        <v>250</v>
      </c>
      <c r="U2" t="s">
        <v>251</v>
      </c>
    </row>
    <row r="3" spans="1:21" x14ac:dyDescent="0.25">
      <c r="A3" t="s">
        <v>219</v>
      </c>
      <c r="B3" t="s">
        <v>230</v>
      </c>
      <c r="C3">
        <v>1050</v>
      </c>
      <c r="D3" s="1">
        <v>13.877599999999999</v>
      </c>
      <c r="E3" s="1">
        <v>11.21</v>
      </c>
      <c r="F3" s="1">
        <v>-126</v>
      </c>
      <c r="G3" s="1">
        <v>-0.12</v>
      </c>
      <c r="H3" s="2">
        <v>-0.87</v>
      </c>
      <c r="I3" s="1">
        <v>11770.5</v>
      </c>
      <c r="J3" s="1">
        <v>14571.48</v>
      </c>
      <c r="K3" s="1">
        <v>-2800.98</v>
      </c>
      <c r="L3" s="2">
        <v>-19.2223439211391</v>
      </c>
      <c r="M3" t="s">
        <v>220</v>
      </c>
      <c r="N3" s="1">
        <v>0.1</v>
      </c>
      <c r="O3" s="1">
        <v>35</v>
      </c>
      <c r="P3" s="1">
        <v>420</v>
      </c>
      <c r="Q3" s="2">
        <v>14.2</v>
      </c>
      <c r="R3" s="2">
        <v>13.916</v>
      </c>
      <c r="S3" s="2">
        <v>0.2840000000000007</v>
      </c>
      <c r="T3" s="96" t="s">
        <v>250</v>
      </c>
      <c r="U3" t="s">
        <v>251</v>
      </c>
    </row>
    <row r="4" spans="1:21" x14ac:dyDescent="0.25">
      <c r="A4" t="s">
        <v>221</v>
      </c>
      <c r="B4" t="s">
        <v>230</v>
      </c>
      <c r="C4">
        <v>1625</v>
      </c>
      <c r="D4" s="1">
        <v>6.6412000000000004</v>
      </c>
      <c r="E4" s="1">
        <v>5.94</v>
      </c>
      <c r="F4" s="1">
        <v>-32.5</v>
      </c>
      <c r="G4" s="1">
        <v>-0.02</v>
      </c>
      <c r="H4" s="2">
        <v>-0.33</v>
      </c>
      <c r="I4" s="1">
        <v>9652.5</v>
      </c>
      <c r="J4" s="1">
        <v>10791.95</v>
      </c>
      <c r="K4" s="1">
        <v>-1139.450000000001</v>
      </c>
      <c r="L4" s="2">
        <v>-10.558332831416021</v>
      </c>
      <c r="M4" t="s">
        <v>209</v>
      </c>
      <c r="N4" s="1">
        <v>0.08</v>
      </c>
      <c r="O4" s="1">
        <v>130</v>
      </c>
      <c r="P4" s="1">
        <v>1560</v>
      </c>
      <c r="Q4" s="2">
        <v>15.53</v>
      </c>
      <c r="R4" s="2">
        <v>15.2194</v>
      </c>
      <c r="S4" s="2">
        <v>0.31060000000000088</v>
      </c>
      <c r="T4" s="96" t="s">
        <v>250</v>
      </c>
      <c r="U4" t="s">
        <v>251</v>
      </c>
    </row>
    <row r="5" spans="1:21" x14ac:dyDescent="0.25">
      <c r="A5" t="s">
        <v>208</v>
      </c>
      <c r="B5" t="s">
        <v>230</v>
      </c>
      <c r="C5">
        <v>736</v>
      </c>
      <c r="D5" s="1">
        <v>10.37</v>
      </c>
      <c r="E5" s="1">
        <v>9.25</v>
      </c>
      <c r="F5" s="1">
        <v>-51.52</v>
      </c>
      <c r="G5" s="1">
        <v>-7.0000000000000007E-2</v>
      </c>
      <c r="H5" s="2">
        <v>-0.69</v>
      </c>
      <c r="I5" s="1">
        <v>6808</v>
      </c>
      <c r="J5" s="1">
        <v>7632.32</v>
      </c>
      <c r="K5" s="1">
        <v>-824.31999999999971</v>
      </c>
      <c r="L5" s="2">
        <v>-10.800385728061711</v>
      </c>
      <c r="M5" t="s">
        <v>209</v>
      </c>
      <c r="N5" s="1">
        <v>0.12</v>
      </c>
      <c r="O5" s="1">
        <v>88.32</v>
      </c>
      <c r="P5" s="1">
        <v>1059.8399999999999</v>
      </c>
      <c r="Q5" s="2">
        <v>13.81</v>
      </c>
      <c r="R5" s="2">
        <v>13.533799999999999</v>
      </c>
      <c r="S5" s="2">
        <v>0.27620000000000111</v>
      </c>
      <c r="T5" s="96" t="s">
        <v>250</v>
      </c>
      <c r="U5" t="s">
        <v>251</v>
      </c>
    </row>
    <row r="6" spans="1:21" x14ac:dyDescent="0.25">
      <c r="A6" t="s">
        <v>208</v>
      </c>
      <c r="B6" t="s">
        <v>252</v>
      </c>
      <c r="C6">
        <v>1060</v>
      </c>
      <c r="D6" s="1">
        <v>9.42</v>
      </c>
      <c r="E6" s="1">
        <v>9.25</v>
      </c>
      <c r="F6" s="1">
        <v>-74.2</v>
      </c>
      <c r="G6" s="1">
        <v>-7.0000000000000007E-2</v>
      </c>
      <c r="H6" s="2">
        <v>-0.69</v>
      </c>
      <c r="I6" s="1">
        <v>9805</v>
      </c>
      <c r="J6" s="1">
        <v>9985.2000000000007</v>
      </c>
      <c r="K6" s="1">
        <v>-180.2000000000007</v>
      </c>
      <c r="L6" s="2">
        <v>-1.8046709129511751</v>
      </c>
      <c r="M6" t="s">
        <v>209</v>
      </c>
      <c r="N6" s="1">
        <v>0.12</v>
      </c>
      <c r="O6" s="1">
        <v>127.2</v>
      </c>
      <c r="P6" s="1">
        <v>1526.4</v>
      </c>
      <c r="Q6" s="2">
        <v>13.81</v>
      </c>
      <c r="R6" s="2">
        <v>13.533799999999999</v>
      </c>
      <c r="S6" s="2">
        <v>0.27620000000000111</v>
      </c>
      <c r="T6" s="96" t="s">
        <v>250</v>
      </c>
      <c r="U6" t="s">
        <v>251</v>
      </c>
    </row>
    <row r="7" spans="1:21" x14ac:dyDescent="0.25">
      <c r="A7" t="s">
        <v>222</v>
      </c>
      <c r="B7" t="s">
        <v>230</v>
      </c>
      <c r="C7">
        <v>440</v>
      </c>
      <c r="D7" s="1">
        <v>28.001799999999999</v>
      </c>
      <c r="E7" s="1">
        <v>22.54</v>
      </c>
      <c r="F7" s="1">
        <v>-118.8</v>
      </c>
      <c r="G7" s="1">
        <v>-0.27</v>
      </c>
      <c r="H7" s="2">
        <v>-1.2</v>
      </c>
      <c r="I7" s="1">
        <v>9917.6</v>
      </c>
      <c r="J7" s="1">
        <v>12320.791999999999</v>
      </c>
      <c r="K7" s="1">
        <v>-2403.1919999999991</v>
      </c>
      <c r="L7" s="2">
        <v>-19.505174667342811</v>
      </c>
      <c r="M7" t="s">
        <v>209</v>
      </c>
      <c r="N7" s="1">
        <v>0.92</v>
      </c>
      <c r="O7" s="1">
        <v>404.8</v>
      </c>
      <c r="P7" s="1">
        <v>4857.6000000000004</v>
      </c>
      <c r="Q7" s="2">
        <v>57.07</v>
      </c>
      <c r="R7" s="2">
        <v>55.928600000000003</v>
      </c>
      <c r="S7" s="2">
        <v>1.141400000000004</v>
      </c>
      <c r="T7" s="96" t="s">
        <v>250</v>
      </c>
      <c r="U7" t="s">
        <v>251</v>
      </c>
    </row>
    <row r="8" spans="1:21" x14ac:dyDescent="0.25">
      <c r="A8" t="s">
        <v>223</v>
      </c>
      <c r="B8" t="s">
        <v>230</v>
      </c>
      <c r="C8">
        <v>568</v>
      </c>
      <c r="D8" s="1">
        <v>5.7</v>
      </c>
      <c r="E8" s="1">
        <v>4.92</v>
      </c>
      <c r="F8" s="1">
        <v>-28.4</v>
      </c>
      <c r="G8" s="1">
        <v>-0.05</v>
      </c>
      <c r="H8" s="2">
        <v>-0.87</v>
      </c>
      <c r="I8" s="1">
        <v>2794.56</v>
      </c>
      <c r="J8" s="1">
        <v>3237.6</v>
      </c>
      <c r="K8" s="1">
        <v>-443.04</v>
      </c>
      <c r="L8" s="2">
        <v>-13.684210526315789</v>
      </c>
      <c r="M8" t="s">
        <v>220</v>
      </c>
      <c r="N8" s="1">
        <v>0.05</v>
      </c>
      <c r="O8" s="1">
        <v>9.4666666666666668</v>
      </c>
      <c r="P8" s="1">
        <v>113.6</v>
      </c>
      <c r="Q8" s="2">
        <v>10.31</v>
      </c>
      <c r="R8" s="2">
        <v>10.1038</v>
      </c>
      <c r="S8" s="2">
        <v>0.2062000000000008</v>
      </c>
      <c r="T8" s="96" t="s">
        <v>250</v>
      </c>
      <c r="U8" t="s">
        <v>251</v>
      </c>
    </row>
    <row r="9" spans="1:21" x14ac:dyDescent="0.25">
      <c r="A9" t="s">
        <v>224</v>
      </c>
      <c r="B9" t="s">
        <v>230</v>
      </c>
      <c r="C9">
        <v>2425</v>
      </c>
      <c r="D9" s="1">
        <v>3.3992800000000001</v>
      </c>
      <c r="E9" s="1">
        <v>2.63</v>
      </c>
      <c r="F9" s="1">
        <v>-242.5</v>
      </c>
      <c r="G9" s="1">
        <v>-0.1</v>
      </c>
      <c r="H9" s="2">
        <v>-2.87</v>
      </c>
      <c r="I9" s="1">
        <v>6377.75</v>
      </c>
      <c r="J9" s="1">
        <v>8243.2540000000008</v>
      </c>
      <c r="K9" s="1">
        <v>-1865.504000000001</v>
      </c>
      <c r="L9" s="2">
        <v>-22.630674731119541</v>
      </c>
      <c r="M9" t="s">
        <v>220</v>
      </c>
      <c r="N9" s="1">
        <v>0.05</v>
      </c>
      <c r="O9" s="1">
        <v>40.416666666666657</v>
      </c>
      <c r="P9" s="1">
        <v>485</v>
      </c>
      <c r="Q9" s="2">
        <v>17</v>
      </c>
      <c r="R9" s="2">
        <v>16.66</v>
      </c>
      <c r="S9" s="2">
        <v>0.33999999999999991</v>
      </c>
      <c r="T9" s="96" t="s">
        <v>250</v>
      </c>
      <c r="U9" t="s">
        <v>251</v>
      </c>
    </row>
    <row r="10" spans="1:21" x14ac:dyDescent="0.25">
      <c r="A10" t="s">
        <v>225</v>
      </c>
      <c r="B10" t="s">
        <v>230</v>
      </c>
      <c r="C10">
        <v>260</v>
      </c>
      <c r="D10" s="1">
        <v>12.5</v>
      </c>
      <c r="E10" s="1">
        <v>12.05</v>
      </c>
      <c r="F10" s="1">
        <v>5.2</v>
      </c>
      <c r="G10" s="1">
        <v>0.02</v>
      </c>
      <c r="H10" s="2">
        <v>0.16</v>
      </c>
      <c r="I10" s="1">
        <v>3133</v>
      </c>
      <c r="J10" s="1">
        <v>3250</v>
      </c>
      <c r="K10" s="1">
        <v>-117</v>
      </c>
      <c r="L10" s="2">
        <v>-3.6</v>
      </c>
      <c r="M10" t="s">
        <v>209</v>
      </c>
      <c r="N10" s="1">
        <v>0.11</v>
      </c>
      <c r="O10" s="1">
        <v>28.6</v>
      </c>
      <c r="P10" s="1">
        <v>343.2</v>
      </c>
      <c r="Q10" s="2">
        <v>12.75</v>
      </c>
      <c r="R10" s="2">
        <v>12.494999999999999</v>
      </c>
      <c r="S10" s="2">
        <v>0.25500000000000078</v>
      </c>
      <c r="T10" s="96" t="s">
        <v>250</v>
      </c>
      <c r="U10" t="s">
        <v>251</v>
      </c>
    </row>
    <row r="11" spans="1:21" x14ac:dyDescent="0.25">
      <c r="A11" t="s">
        <v>210</v>
      </c>
      <c r="B11" t="s">
        <v>230</v>
      </c>
      <c r="C11">
        <v>625</v>
      </c>
      <c r="D11" s="1">
        <v>11.9018</v>
      </c>
      <c r="E11" s="1">
        <v>12.53</v>
      </c>
      <c r="F11" s="1">
        <v>-43.750000000000007</v>
      </c>
      <c r="G11" s="1">
        <v>-7.0000000000000007E-2</v>
      </c>
      <c r="H11" s="2">
        <v>-0.52</v>
      </c>
      <c r="I11" s="1">
        <v>7831.25</v>
      </c>
      <c r="J11" s="1">
        <v>7438.625</v>
      </c>
      <c r="K11" s="1">
        <v>392.625</v>
      </c>
      <c r="L11" s="2">
        <v>5.2781932144717603</v>
      </c>
      <c r="M11" t="s">
        <v>209</v>
      </c>
      <c r="N11" s="1">
        <v>0.17</v>
      </c>
      <c r="O11" s="1">
        <v>106.25</v>
      </c>
      <c r="P11" s="1">
        <v>1275</v>
      </c>
      <c r="Q11" s="2">
        <v>14.62</v>
      </c>
      <c r="R11" s="2">
        <v>14.3276</v>
      </c>
      <c r="S11" s="2">
        <v>0.29240000000000071</v>
      </c>
      <c r="T11" s="96" t="s">
        <v>250</v>
      </c>
      <c r="U11" t="s">
        <v>251</v>
      </c>
    </row>
    <row r="12" spans="1:21" x14ac:dyDescent="0.25">
      <c r="A12" t="s">
        <v>211</v>
      </c>
      <c r="B12" t="s">
        <v>230</v>
      </c>
      <c r="C12">
        <v>1142</v>
      </c>
      <c r="D12" s="1">
        <v>10.0969</v>
      </c>
      <c r="E12" s="1">
        <v>7.45</v>
      </c>
      <c r="F12" s="1">
        <v>34.26</v>
      </c>
      <c r="G12" s="1">
        <v>0.03</v>
      </c>
      <c r="H12" s="2">
        <v>0.34</v>
      </c>
      <c r="I12" s="1">
        <v>8507.9</v>
      </c>
      <c r="J12" s="1">
        <v>11530.659799999999</v>
      </c>
      <c r="K12" s="1">
        <v>-3022.7597999999998</v>
      </c>
      <c r="L12" s="2">
        <v>-26.21497687409007</v>
      </c>
      <c r="M12" t="s">
        <v>209</v>
      </c>
      <c r="N12" s="1">
        <v>0.14000000000000001</v>
      </c>
      <c r="O12" s="1">
        <v>159.88</v>
      </c>
      <c r="P12" s="1">
        <v>1918.56</v>
      </c>
      <c r="Q12" s="2">
        <v>19.350000000000001</v>
      </c>
      <c r="R12" s="2">
        <v>18.963000000000001</v>
      </c>
      <c r="S12" s="2">
        <v>0.38700000000000051</v>
      </c>
      <c r="T12" s="96" t="s">
        <v>250</v>
      </c>
      <c r="U12" t="s">
        <v>251</v>
      </c>
    </row>
    <row r="13" spans="1:21" x14ac:dyDescent="0.25">
      <c r="A13" t="s">
        <v>211</v>
      </c>
      <c r="B13" t="s">
        <v>252</v>
      </c>
      <c r="C13">
        <v>1330</v>
      </c>
      <c r="D13" s="1">
        <v>7.43</v>
      </c>
      <c r="E13" s="1">
        <v>7.45</v>
      </c>
      <c r="F13" s="1">
        <v>39.9</v>
      </c>
      <c r="G13" s="1">
        <v>0.03</v>
      </c>
      <c r="H13" s="2">
        <v>0.34</v>
      </c>
      <c r="I13" s="1">
        <v>9908.5</v>
      </c>
      <c r="J13" s="1">
        <v>9881.9</v>
      </c>
      <c r="K13" s="1">
        <v>26.60000000000036</v>
      </c>
      <c r="L13" s="2">
        <v>0.26917900403768869</v>
      </c>
      <c r="M13" t="s">
        <v>209</v>
      </c>
      <c r="N13" s="1">
        <v>0.14000000000000001</v>
      </c>
      <c r="O13" s="1">
        <v>186.2</v>
      </c>
      <c r="P13" s="1">
        <v>2234.4</v>
      </c>
      <c r="Q13" s="2">
        <v>19.350000000000001</v>
      </c>
      <c r="R13" s="2">
        <v>18.963000000000001</v>
      </c>
      <c r="S13" s="2">
        <v>0.38700000000000051</v>
      </c>
      <c r="T13" s="96" t="s">
        <v>250</v>
      </c>
      <c r="U13" t="s">
        <v>251</v>
      </c>
    </row>
    <row r="14" spans="1:21" x14ac:dyDescent="0.25">
      <c r="A14" t="s">
        <v>226</v>
      </c>
      <c r="B14" t="s">
        <v>230</v>
      </c>
      <c r="C14">
        <v>466</v>
      </c>
      <c r="D14" s="1">
        <v>15.65</v>
      </c>
      <c r="E14" s="1">
        <v>13.66</v>
      </c>
      <c r="F14" s="1">
        <v>-18.64</v>
      </c>
      <c r="G14" s="1">
        <v>-0.04</v>
      </c>
      <c r="H14" s="2">
        <v>-0.25</v>
      </c>
      <c r="I14" s="1">
        <v>6365.56</v>
      </c>
      <c r="J14" s="1">
        <v>7292.9000000000005</v>
      </c>
      <c r="K14" s="1">
        <v>-927.34000000000015</v>
      </c>
      <c r="L14" s="2">
        <v>-12.71565495207668</v>
      </c>
      <c r="M14" t="s">
        <v>209</v>
      </c>
      <c r="N14" s="1">
        <v>0.13</v>
      </c>
      <c r="O14" s="1">
        <v>60.580000000000013</v>
      </c>
      <c r="P14" s="1">
        <v>726.96</v>
      </c>
      <c r="Q14" s="2">
        <v>15.23</v>
      </c>
      <c r="R14" s="2">
        <v>14.9254</v>
      </c>
      <c r="S14" s="2">
        <v>0.30460000000000059</v>
      </c>
      <c r="T14" s="96" t="s">
        <v>250</v>
      </c>
      <c r="U14" t="s">
        <v>251</v>
      </c>
    </row>
    <row r="15" spans="1:21" x14ac:dyDescent="0.25">
      <c r="A15" t="s">
        <v>227</v>
      </c>
      <c r="B15" t="s">
        <v>230</v>
      </c>
      <c r="C15">
        <v>90</v>
      </c>
      <c r="D15" s="1">
        <v>11.3</v>
      </c>
      <c r="E15" s="1">
        <v>11.3</v>
      </c>
      <c r="F15" s="1">
        <v>0</v>
      </c>
      <c r="G15" s="1">
        <v>0</v>
      </c>
      <c r="H15" s="2">
        <v>0</v>
      </c>
      <c r="I15" s="1">
        <v>1017</v>
      </c>
      <c r="J15" s="1">
        <v>1017</v>
      </c>
      <c r="K15" s="1">
        <v>0</v>
      </c>
      <c r="L15" s="2">
        <v>0</v>
      </c>
      <c r="M15" t="s">
        <v>220</v>
      </c>
      <c r="N15" s="1">
        <v>0</v>
      </c>
      <c r="O15" s="1">
        <v>0</v>
      </c>
      <c r="P15" s="1">
        <v>0</v>
      </c>
      <c r="Q15" s="2">
        <v>0</v>
      </c>
      <c r="R15" s="2">
        <v>0</v>
      </c>
      <c r="S15" s="2">
        <v>0</v>
      </c>
      <c r="T15" s="97" t="s">
        <v>253</v>
      </c>
      <c r="U15" t="s">
        <v>251</v>
      </c>
    </row>
    <row r="16" spans="1:21" x14ac:dyDescent="0.25">
      <c r="A16" t="s">
        <v>254</v>
      </c>
      <c r="B16" t="s">
        <v>230</v>
      </c>
      <c r="C16">
        <v>917</v>
      </c>
      <c r="D16" s="1">
        <v>8.1135999999999999</v>
      </c>
      <c r="E16" s="1">
        <v>8.1135999999999999</v>
      </c>
      <c r="F16" s="1">
        <v>0</v>
      </c>
      <c r="G16" s="1">
        <v>0</v>
      </c>
      <c r="H16" s="2">
        <v>0</v>
      </c>
      <c r="I16" s="1">
        <v>7440.1711999999998</v>
      </c>
      <c r="J16" s="1">
        <v>7440.1711999999998</v>
      </c>
      <c r="K16" s="1">
        <v>0</v>
      </c>
      <c r="L16" s="2">
        <v>0</v>
      </c>
      <c r="M16" t="s">
        <v>209</v>
      </c>
      <c r="N16" s="1">
        <v>0</v>
      </c>
      <c r="O16" s="1">
        <v>0</v>
      </c>
      <c r="P16" s="1">
        <v>0</v>
      </c>
      <c r="Q16" s="2">
        <v>0</v>
      </c>
      <c r="R16" s="2">
        <v>0</v>
      </c>
      <c r="S16" s="2">
        <v>0</v>
      </c>
      <c r="T16" s="97" t="s">
        <v>253</v>
      </c>
      <c r="U16" t="s">
        <v>251</v>
      </c>
    </row>
    <row r="17" spans="1:21" x14ac:dyDescent="0.25">
      <c r="A17" t="s">
        <v>228</v>
      </c>
      <c r="B17" t="s">
        <v>230</v>
      </c>
      <c r="C17">
        <v>1385</v>
      </c>
      <c r="D17" s="1">
        <v>9.5274000000000001</v>
      </c>
      <c r="E17" s="1">
        <v>9.5274000000000001</v>
      </c>
      <c r="F17" s="1">
        <v>0</v>
      </c>
      <c r="G17" s="1">
        <v>0</v>
      </c>
      <c r="H17" s="2">
        <v>0</v>
      </c>
      <c r="I17" s="1">
        <v>13195.449000000001</v>
      </c>
      <c r="J17" s="1">
        <v>13195.449000000001</v>
      </c>
      <c r="K17" s="1">
        <v>0</v>
      </c>
      <c r="L17" s="2">
        <v>0</v>
      </c>
      <c r="M17" t="s">
        <v>220</v>
      </c>
      <c r="N17" s="1">
        <v>0</v>
      </c>
      <c r="O17" s="1">
        <v>0</v>
      </c>
      <c r="P17" s="1">
        <v>0</v>
      </c>
      <c r="Q17" s="2">
        <v>0</v>
      </c>
      <c r="R17" s="2">
        <v>0</v>
      </c>
      <c r="S17" s="2">
        <v>0</v>
      </c>
      <c r="T17" s="97" t="s">
        <v>253</v>
      </c>
      <c r="U17" t="s">
        <v>251</v>
      </c>
    </row>
    <row r="18" spans="1:21" x14ac:dyDescent="0.25">
      <c r="A18" t="s">
        <v>229</v>
      </c>
      <c r="B18" t="s">
        <v>230</v>
      </c>
      <c r="C18">
        <v>688</v>
      </c>
      <c r="D18" s="1">
        <v>19.151299999999999</v>
      </c>
      <c r="E18" s="1">
        <v>19.151299999999999</v>
      </c>
      <c r="F18" s="1">
        <v>0</v>
      </c>
      <c r="G18" s="1">
        <v>0</v>
      </c>
      <c r="H18" s="2">
        <v>0</v>
      </c>
      <c r="I18" s="1">
        <v>13176.0944</v>
      </c>
      <c r="J18" s="1">
        <v>13176.0944</v>
      </c>
      <c r="K18" s="1">
        <v>0</v>
      </c>
      <c r="L18" s="2">
        <v>0</v>
      </c>
      <c r="M18" t="s">
        <v>209</v>
      </c>
      <c r="N18" s="1">
        <v>0</v>
      </c>
      <c r="O18" s="1">
        <v>0</v>
      </c>
      <c r="P18" s="1">
        <v>0</v>
      </c>
      <c r="Q18" s="2">
        <v>0</v>
      </c>
      <c r="R18" s="2">
        <v>0</v>
      </c>
      <c r="S18" s="2">
        <v>0</v>
      </c>
      <c r="T18" s="97" t="s">
        <v>253</v>
      </c>
      <c r="U18" t="s">
        <v>251</v>
      </c>
    </row>
    <row r="19" spans="1:21" x14ac:dyDescent="0.25">
      <c r="A19" t="s">
        <v>212</v>
      </c>
      <c r="B19" t="s">
        <v>230</v>
      </c>
      <c r="C19">
        <v>276</v>
      </c>
      <c r="D19" s="1">
        <v>38.83</v>
      </c>
      <c r="E19" s="1">
        <v>38.83</v>
      </c>
      <c r="F19" s="1">
        <v>0</v>
      </c>
      <c r="G19" s="1">
        <v>0</v>
      </c>
      <c r="H19" s="2">
        <v>0</v>
      </c>
      <c r="I19" s="1">
        <v>10717.08</v>
      </c>
      <c r="J19" s="1">
        <v>10717.08</v>
      </c>
      <c r="K19" s="1">
        <v>0</v>
      </c>
      <c r="L19" s="2">
        <v>0</v>
      </c>
      <c r="M19" t="s">
        <v>213</v>
      </c>
      <c r="N19" s="1">
        <v>0</v>
      </c>
      <c r="O19" s="1">
        <v>0</v>
      </c>
      <c r="P19" s="1">
        <v>0</v>
      </c>
      <c r="Q19" s="2">
        <v>0</v>
      </c>
      <c r="R19" s="2">
        <v>0</v>
      </c>
      <c r="S19" s="2">
        <v>0</v>
      </c>
      <c r="T19" s="97" t="s">
        <v>253</v>
      </c>
      <c r="U19" t="s">
        <v>251</v>
      </c>
    </row>
    <row r="20" spans="1:21" x14ac:dyDescent="0.25">
      <c r="A20" t="s">
        <v>212</v>
      </c>
      <c r="B20" t="s">
        <v>252</v>
      </c>
      <c r="C20">
        <v>285</v>
      </c>
      <c r="D20" s="1">
        <v>35.299999999999997</v>
      </c>
      <c r="E20" s="1">
        <v>35.299999999999997</v>
      </c>
      <c r="F20" s="1">
        <v>0</v>
      </c>
      <c r="G20" s="1">
        <v>0</v>
      </c>
      <c r="H20" s="2">
        <v>0</v>
      </c>
      <c r="I20" s="1">
        <v>10060.5</v>
      </c>
      <c r="J20" s="1">
        <v>10060.5</v>
      </c>
      <c r="K20" s="1">
        <v>0</v>
      </c>
      <c r="L20" s="2">
        <v>0</v>
      </c>
      <c r="M20" t="s">
        <v>213</v>
      </c>
      <c r="N20" s="1">
        <v>0</v>
      </c>
      <c r="O20" s="1">
        <v>0</v>
      </c>
      <c r="P20" s="1">
        <v>0</v>
      </c>
      <c r="Q20" s="2">
        <v>0</v>
      </c>
      <c r="R20" s="2">
        <v>0</v>
      </c>
      <c r="S20" s="2">
        <v>0</v>
      </c>
      <c r="T20" s="97" t="s">
        <v>253</v>
      </c>
      <c r="U20" t="s">
        <v>251</v>
      </c>
    </row>
    <row r="21" spans="1:21" x14ac:dyDescent="0.25">
      <c r="A21" t="s">
        <v>255</v>
      </c>
      <c r="B21" t="s">
        <v>230</v>
      </c>
      <c r="C21">
        <v>350</v>
      </c>
      <c r="D21" s="1">
        <v>17.920000000000002</v>
      </c>
      <c r="E21" s="1">
        <v>17.920000000000002</v>
      </c>
      <c r="F21" s="1">
        <v>0</v>
      </c>
      <c r="G21" s="1">
        <v>0</v>
      </c>
      <c r="H21" s="2">
        <v>0</v>
      </c>
      <c r="I21" s="1">
        <v>6272.0000000000009</v>
      </c>
      <c r="J21" s="1">
        <v>6272.0000000000009</v>
      </c>
      <c r="K21" s="1">
        <v>0</v>
      </c>
      <c r="L21" s="2">
        <v>0</v>
      </c>
      <c r="M21" t="s">
        <v>209</v>
      </c>
      <c r="N21" s="1">
        <v>0</v>
      </c>
      <c r="O21" s="1">
        <v>0</v>
      </c>
      <c r="P21" s="1">
        <v>0</v>
      </c>
      <c r="Q21" s="2">
        <v>0</v>
      </c>
      <c r="R21" s="2">
        <v>0</v>
      </c>
      <c r="S21" s="2">
        <v>0</v>
      </c>
      <c r="T21" s="97" t="s">
        <v>253</v>
      </c>
      <c r="U21" t="s">
        <v>251</v>
      </c>
    </row>
    <row r="22" spans="1:21" x14ac:dyDescent="0.25">
      <c r="A22" t="s">
        <v>231</v>
      </c>
      <c r="B22" t="s">
        <v>230</v>
      </c>
      <c r="C22">
        <v>579</v>
      </c>
      <c r="D22" s="1">
        <v>16.540700000000001</v>
      </c>
      <c r="E22" s="1">
        <v>16.540700000000001</v>
      </c>
      <c r="F22" s="1">
        <v>0</v>
      </c>
      <c r="G22" s="1">
        <v>0</v>
      </c>
      <c r="H22" s="2">
        <v>0</v>
      </c>
      <c r="I22" s="1">
        <v>9577.0653000000002</v>
      </c>
      <c r="J22" s="1">
        <v>9577.0653000000002</v>
      </c>
      <c r="K22" s="1">
        <v>0</v>
      </c>
      <c r="L22" s="2">
        <v>0</v>
      </c>
      <c r="M22" t="s">
        <v>209</v>
      </c>
      <c r="N22" s="1">
        <v>0</v>
      </c>
      <c r="O22" s="1">
        <v>0</v>
      </c>
      <c r="P22" s="1">
        <v>0</v>
      </c>
      <c r="Q22" s="2">
        <v>0</v>
      </c>
      <c r="R22" s="2">
        <v>0</v>
      </c>
      <c r="S22" s="2">
        <v>0</v>
      </c>
      <c r="T22" s="97" t="s">
        <v>253</v>
      </c>
      <c r="U22" t="s">
        <v>251</v>
      </c>
    </row>
    <row r="23" spans="1:21" x14ac:dyDescent="0.25">
      <c r="A23" t="s">
        <v>232</v>
      </c>
      <c r="B23" t="s">
        <v>230</v>
      </c>
      <c r="C23">
        <v>552</v>
      </c>
      <c r="D23" s="1">
        <v>22.328800000000001</v>
      </c>
      <c r="E23" s="1">
        <v>22.328800000000001</v>
      </c>
      <c r="F23" s="1">
        <v>0</v>
      </c>
      <c r="G23" s="1">
        <v>0</v>
      </c>
      <c r="H23" s="2">
        <v>0</v>
      </c>
      <c r="I23" s="1">
        <v>12325.497600000001</v>
      </c>
      <c r="J23" s="1">
        <v>12325.497600000001</v>
      </c>
      <c r="K23" s="1">
        <v>0</v>
      </c>
      <c r="L23" s="2">
        <v>0</v>
      </c>
      <c r="M23" t="s">
        <v>209</v>
      </c>
      <c r="N23" s="1">
        <v>0</v>
      </c>
      <c r="O23" s="1">
        <v>0</v>
      </c>
      <c r="P23" s="1">
        <v>0</v>
      </c>
      <c r="Q23" s="2">
        <v>0</v>
      </c>
      <c r="R23" s="2">
        <v>0</v>
      </c>
      <c r="S23" s="2">
        <v>0</v>
      </c>
      <c r="T23" s="97" t="s">
        <v>253</v>
      </c>
      <c r="U23" t="s">
        <v>251</v>
      </c>
    </row>
    <row r="25" spans="1:21" x14ac:dyDescent="0.25">
      <c r="A25" s="98" t="s">
        <v>256</v>
      </c>
      <c r="I25" s="99">
        <v>178219.22750000001</v>
      </c>
      <c r="J25" s="99">
        <v>191446.28829999999</v>
      </c>
      <c r="K25" s="99">
        <v>-13227.060799999999</v>
      </c>
      <c r="O25" s="99">
        <v>1397.9633333333329</v>
      </c>
      <c r="P25" s="99">
        <v>16775.560000000001</v>
      </c>
    </row>
    <row r="28" spans="1:21" x14ac:dyDescent="0.25">
      <c r="A28" s="98" t="s">
        <v>257</v>
      </c>
    </row>
    <row r="29" spans="1:21" x14ac:dyDescent="0.25">
      <c r="A29" t="s">
        <v>258</v>
      </c>
    </row>
    <row r="30" spans="1:21" x14ac:dyDescent="0.25">
      <c r="A30" t="s">
        <v>259</v>
      </c>
    </row>
    <row r="31" spans="1:21" x14ac:dyDescent="0.25">
      <c r="A31" t="s">
        <v>260</v>
      </c>
    </row>
    <row r="32" spans="1:21" x14ac:dyDescent="0.25">
      <c r="A32" t="s">
        <v>261</v>
      </c>
    </row>
    <row r="34" spans="1:1" x14ac:dyDescent="0.25">
      <c r="A34" t="s">
        <v>262</v>
      </c>
    </row>
    <row r="35" spans="1:1" x14ac:dyDescent="0.25">
      <c r="A35" t="s">
        <v>263</v>
      </c>
    </row>
    <row r="36" spans="1:1" x14ac:dyDescent="0.25">
      <c r="A36" t="s">
        <v>264</v>
      </c>
    </row>
    <row r="37" spans="1:1" x14ac:dyDescent="0.25">
      <c r="A37" t="s">
        <v>265</v>
      </c>
    </row>
    <row r="38" spans="1:1" x14ac:dyDescent="0.25">
      <c r="A38" t="s">
        <v>266</v>
      </c>
    </row>
    <row r="39" spans="1:1" x14ac:dyDescent="0.25">
      <c r="A39" t="s">
        <v>267</v>
      </c>
    </row>
    <row r="40" spans="1:1" x14ac:dyDescent="0.25">
      <c r="A40" t="s">
        <v>268</v>
      </c>
    </row>
    <row r="41" spans="1:1" x14ac:dyDescent="0.25">
      <c r="A41" t="s">
        <v>269</v>
      </c>
    </row>
    <row r="42" spans="1:1" x14ac:dyDescent="0.25">
      <c r="A42" t="s">
        <v>270</v>
      </c>
    </row>
    <row r="43" spans="1:1" x14ac:dyDescent="0.25">
      <c r="A43" t="s">
        <v>271</v>
      </c>
    </row>
    <row r="44" spans="1:1" x14ac:dyDescent="0.25">
      <c r="A44" t="s">
        <v>272</v>
      </c>
    </row>
    <row r="45" spans="1:1" x14ac:dyDescent="0.25">
      <c r="A45" t="s">
        <v>273</v>
      </c>
    </row>
    <row r="46" spans="1:1" x14ac:dyDescent="0.25">
      <c r="A46" t="s">
        <v>274</v>
      </c>
    </row>
    <row r="48" spans="1:1" x14ac:dyDescent="0.25">
      <c r="A48" t="s">
        <v>275</v>
      </c>
    </row>
    <row r="50" spans="1:1" x14ac:dyDescent="0.25">
      <c r="A50" t="s">
        <v>276</v>
      </c>
    </row>
    <row r="52" spans="1:1" x14ac:dyDescent="0.25">
      <c r="A52" t="s">
        <v>277</v>
      </c>
    </row>
    <row r="54" spans="1:1" x14ac:dyDescent="0.25">
      <c r="A54" t="s">
        <v>278</v>
      </c>
    </row>
    <row r="56" spans="1:1" x14ac:dyDescent="0.25">
      <c r="A56" t="s">
        <v>279</v>
      </c>
    </row>
    <row r="58" spans="1:1" x14ac:dyDescent="0.25">
      <c r="A58" t="s">
        <v>280</v>
      </c>
    </row>
    <row r="60" spans="1:1" x14ac:dyDescent="0.25">
      <c r="A60" t="s">
        <v>281</v>
      </c>
    </row>
    <row r="62" spans="1:1" x14ac:dyDescent="0.25">
      <c r="A62" t="s">
        <v>282</v>
      </c>
    </row>
    <row r="64" spans="1:1" x14ac:dyDescent="0.25">
      <c r="A64" t="s">
        <v>283</v>
      </c>
    </row>
    <row r="66" spans="1:1" x14ac:dyDescent="0.25">
      <c r="A66" t="s">
        <v>284</v>
      </c>
    </row>
    <row r="68" spans="1:1" x14ac:dyDescent="0.25">
      <c r="A68" t="s">
        <v>285</v>
      </c>
    </row>
    <row r="70" spans="1:1" x14ac:dyDescent="0.25">
      <c r="A70" t="s">
        <v>286</v>
      </c>
    </row>
    <row r="72" spans="1:1" x14ac:dyDescent="0.25">
      <c r="A72" t="s">
        <v>287</v>
      </c>
    </row>
    <row r="74" spans="1:1" x14ac:dyDescent="0.25">
      <c r="A74" t="s">
        <v>288</v>
      </c>
    </row>
    <row r="76" spans="1:1" x14ac:dyDescent="0.25">
      <c r="A76" t="s">
        <v>289</v>
      </c>
    </row>
    <row r="78" spans="1:1" x14ac:dyDescent="0.25">
      <c r="A78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Portfolio Summary</vt:lpstr>
      <vt:lpstr>Portfolio Values 2025</vt:lpstr>
      <vt:lpstr>Estimated Income 2025</vt:lpstr>
      <vt:lpstr>Schwab_IRA</vt:lpstr>
      <vt:lpstr>Schwab_Individual</vt:lpstr>
      <vt:lpstr>Etrade_IRA</vt:lpstr>
      <vt:lpstr>Etrade_Individual</vt:lpstr>
      <vt:lpstr>Accounts Div historical yield (</vt:lpstr>
      <vt:lpstr>Ticker Analysis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J Matthews</cp:lastModifiedBy>
  <dcterms:created xsi:type="dcterms:W3CDTF">2025-08-03T13:53:31Z</dcterms:created>
  <dcterms:modified xsi:type="dcterms:W3CDTF">2025-11-01T16:43:45Z</dcterms:modified>
</cp:coreProperties>
</file>