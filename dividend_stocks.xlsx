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75" windowWidth="29040" windowHeight="15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stimated Income 2025" sheetId="2" state="visible" r:id="rId2"/>
  </sheets>
  <definedNames>
    <definedName name="ColumnL">Sheet1!#REF!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mm\-dd"/>
    <numFmt numFmtId="166" formatCode="&quot;$&quot;#,##0.00_-"/>
    <numFmt numFmtId="167" formatCode="mm-dd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3" tint="0.249977111117893"/>
      <sz val="12"/>
      <scheme val="minor"/>
    </font>
    <font>
      <name val="Arial"/>
      <family val="2"/>
      <b val="1"/>
      <sz val="14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sz val="10"/>
    </font>
  </fonts>
  <fills count="68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00"/>
        <bgColor rgb="FFFF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F81BD"/>
        <bgColor rgb="FF4F81B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6">
    <xf numFmtId="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164" fontId="4" fillId="0" borderId="1" applyAlignment="1" pivotButton="0" quotePrefix="0" xfId="1">
      <alignment wrapText="1"/>
    </xf>
    <xf numFmtId="164" fontId="2" fillId="0" borderId="1" applyAlignment="1" pivotButton="0" quotePrefix="0" xfId="0">
      <alignment wrapText="1"/>
    </xf>
    <xf numFmtId="164" fontId="0" fillId="0" borderId="0" pivotButton="0" quotePrefix="0" xfId="0"/>
    <xf numFmtId="164" fontId="3" fillId="0" borderId="0" pivotButton="0" quotePrefix="0" xfId="0"/>
    <xf numFmtId="49" fontId="3" fillId="0" borderId="0" pivotButton="0" quotePrefix="0" xfId="0"/>
    <xf numFmtId="49" fontId="4" fillId="0" borderId="1" applyAlignment="1" pivotButton="0" quotePrefix="0" xfId="0">
      <alignment wrapText="1"/>
    </xf>
    <xf numFmtId="0" fontId="4" fillId="0" borderId="1" applyAlignment="1" pivotButton="0" quotePrefix="0" xfId="2">
      <alignment wrapText="1"/>
    </xf>
    <xf numFmtId="0" fontId="0" fillId="0" borderId="0" pivotButton="0" quotePrefix="0" xfId="2"/>
    <xf numFmtId="0" fontId="0" fillId="2" borderId="0" pivotButton="0" quotePrefix="0" xfId="0"/>
    <xf numFmtId="0" fontId="0" fillId="3" borderId="0" pivotButton="0" quotePrefix="0" xfId="0"/>
    <xf numFmtId="164" fontId="1" fillId="0" borderId="0" pivotButton="0" quotePrefix="0" xfId="1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2" fontId="4" fillId="0" borderId="1" applyAlignment="1" pivotButton="0" quotePrefix="0" xfId="0">
      <alignment wrapText="1"/>
    </xf>
    <xf numFmtId="2" fontId="3" fillId="0" borderId="0" pivotButton="0" quotePrefix="0" xfId="0"/>
    <xf numFmtId="2" fontId="0" fillId="0" borderId="0" pivotButton="0" quotePrefix="0" xfId="0"/>
    <xf numFmtId="1" fontId="4" fillId="0" borderId="1" applyAlignment="1" pivotButton="0" quotePrefix="0" xfId="0">
      <alignment wrapText="1"/>
    </xf>
    <xf numFmtId="1" fontId="5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wrapText="1"/>
    </xf>
    <xf numFmtId="2" fontId="3" fillId="0" borderId="0" pivotButton="0" quotePrefix="0" xfId="2"/>
    <xf numFmtId="0" fontId="0" fillId="9" borderId="0" pivotButton="0" quotePrefix="0" xfId="0"/>
    <xf numFmtId="0" fontId="0" fillId="10" borderId="0" pivotButton="0" quotePrefix="0" xfId="0"/>
    <xf numFmtId="165" fontId="3" fillId="0" borderId="0" pivotButton="0" quotePrefix="0" xfId="0"/>
    <xf numFmtId="164" fontId="2" fillId="0" borderId="1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164" fontId="4" fillId="0" borderId="1" applyAlignment="1" pivotButton="0" quotePrefix="0" xfId="0">
      <alignment wrapText="1"/>
    </xf>
    <xf numFmtId="164" fontId="2" fillId="0" borderId="0" pivotButton="0" quotePrefix="0" xfId="0"/>
    <xf numFmtId="2" fontId="2" fillId="0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165" fontId="0" fillId="0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2" fillId="0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10" fontId="1" fillId="0" borderId="0" pivotButton="0" quotePrefix="0" xfId="2"/>
    <xf numFmtId="0" fontId="0" fillId="51" borderId="0" pivotButton="0" quotePrefix="0" xfId="0"/>
    <xf numFmtId="0" fontId="0" fillId="52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164" fontId="0" fillId="53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6" fillId="0" borderId="0" pivotButton="0" quotePrefix="0" xfId="0"/>
    <xf numFmtId="0" fontId="7" fillId="61" borderId="0" applyAlignment="1" pivotButton="0" quotePrefix="0" xfId="0">
      <alignment horizontal="center"/>
    </xf>
    <xf numFmtId="0" fontId="8" fillId="0" borderId="0" pivotButton="0" quotePrefix="0" xfId="0"/>
    <xf numFmtId="166" fontId="0" fillId="0" borderId="0" pivotButton="0" quotePrefix="0" xfId="0"/>
    <xf numFmtId="0" fontId="9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10" fontId="2" fillId="0" borderId="0" pivotButton="0" quotePrefix="0" xfId="2"/>
    <xf numFmtId="167" fontId="3" fillId="0" borderId="0" pivotButton="0" quotePrefix="0" xfId="0"/>
    <xf numFmtId="0" fontId="0" fillId="66" borderId="0" pivotButton="0" quotePrefix="0" xfId="0"/>
    <xf numFmtId="0" fontId="0" fillId="67" borderId="0" pivotButton="0" quotePrefix="0" xfId="0"/>
    <xf numFmtId="167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10">
    <dxf>
      <fill>
        <patternFill>
          <bgColor rgb="FF78E76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66FF33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610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rgb="FF000000"/>
      </font>
      <fill>
        <patternFill patternType="solid">
          <fgColor indexed="64"/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"/>
  <sheetViews>
    <sheetView tabSelected="1" workbookViewId="0">
      <pane xSplit="1" topLeftCell="B1" activePane="topRight" state="frozen"/>
      <selection pane="topRight" activeCell="P4" sqref="P4"/>
    </sheetView>
  </sheetViews>
  <sheetFormatPr baseColWidth="8" defaultRowHeight="15"/>
  <cols>
    <col width="9.28515625" bestFit="1" customWidth="1" min="3" max="3"/>
    <col width="9.28515625" bestFit="1" customWidth="1" style="22" min="4" max="4"/>
    <col width="9.28515625" bestFit="1" customWidth="1" min="5" max="7"/>
    <col width="11.7109375" customWidth="1" style="8" min="8" max="8"/>
    <col width="10.85546875" customWidth="1" style="16" min="9" max="9"/>
    <col width="12" customWidth="1" min="10" max="10"/>
    <col width="11.140625" customWidth="1" min="11" max="15"/>
    <col width="12.85546875" customWidth="1" style="13" min="16" max="16"/>
  </cols>
  <sheetData>
    <row r="1" ht="45.6" customHeight="1">
      <c r="A1" s="4" t="inlineStr">
        <is>
          <t>Ticker</t>
        </is>
      </c>
      <c r="B1" s="23" t="inlineStr">
        <is>
          <t>Qty #</t>
        </is>
      </c>
      <c r="C1" s="4" t="inlineStr">
        <is>
          <t>Price Paid $</t>
        </is>
      </c>
      <c r="D1" s="20" t="inlineStr">
        <is>
          <t>Last Price $</t>
        </is>
      </c>
      <c r="E1" s="4" t="inlineStr">
        <is>
          <t>Day's Gain $</t>
        </is>
      </c>
      <c r="F1" s="4" t="inlineStr">
        <is>
          <t>Change $</t>
        </is>
      </c>
      <c r="G1" s="4" t="inlineStr">
        <is>
          <t>Change %</t>
        </is>
      </c>
      <c r="H1" s="58" t="inlineStr">
        <is>
          <t>Current Value $</t>
        </is>
      </c>
      <c r="I1" s="28" t="inlineStr">
        <is>
          <t>Original Value $</t>
        </is>
      </c>
      <c r="J1" s="4" t="inlineStr">
        <is>
          <t>Total Gain %</t>
        </is>
      </c>
      <c r="K1" s="11" t="inlineStr">
        <is>
          <t>Pay Date</t>
        </is>
      </c>
      <c r="L1" s="5" t="inlineStr">
        <is>
          <t>Payment cycle</t>
        </is>
      </c>
      <c r="M1" s="7" t="inlineStr">
        <is>
          <t>Rate per share</t>
        </is>
      </c>
      <c r="N1" s="6" t="inlineStr">
        <is>
          <t>Original Payment amount</t>
        </is>
      </c>
      <c r="O1" s="5" t="inlineStr">
        <is>
          <t>New Payment amount</t>
        </is>
      </c>
      <c r="P1" s="12" t="inlineStr">
        <is>
          <t>Beginning Dividend Yield</t>
        </is>
      </c>
      <c r="Q1" t="inlineStr">
        <is>
          <t>11-01-2025</t>
        </is>
      </c>
      <c r="R1" t="inlineStr">
        <is>
          <t>10-25-2025</t>
        </is>
      </c>
      <c r="S1" t="inlineStr">
        <is>
          <t>10-18-2025</t>
        </is>
      </c>
      <c r="T1" t="inlineStr">
        <is>
          <t>10-11-2025</t>
        </is>
      </c>
      <c r="U1" t="inlineStr">
        <is>
          <t>10-05-2025</t>
        </is>
      </c>
      <c r="V1" t="inlineStr">
        <is>
          <t>09-27-2025</t>
        </is>
      </c>
      <c r="W1" t="inlineStr">
        <is>
          <t>09-20-2025</t>
        </is>
      </c>
      <c r="X1" t="inlineStr">
        <is>
          <t>09-13-2025</t>
        </is>
      </c>
      <c r="Y1" t="inlineStr">
        <is>
          <t>09-07-2025</t>
        </is>
      </c>
      <c r="Z1" t="inlineStr">
        <is>
          <t>08-30-2025</t>
        </is>
      </c>
      <c r="AA1" t="inlineStr">
        <is>
          <t>08-25-2025</t>
        </is>
      </c>
      <c r="AB1" t="inlineStr">
        <is>
          <t>08-16-2025</t>
        </is>
      </c>
      <c r="AC1" t="inlineStr">
        <is>
          <t>08-09-2025</t>
        </is>
      </c>
      <c r="AD1" t="inlineStr">
        <is>
          <t>08-02-2025</t>
        </is>
      </c>
      <c r="AE1" t="inlineStr">
        <is>
          <t>07-28-2025</t>
        </is>
      </c>
      <c r="AF1" t="inlineStr">
        <is>
          <t>07-19-2025</t>
        </is>
      </c>
      <c r="AG1" t="inlineStr">
        <is>
          <t>07-12-2025</t>
        </is>
      </c>
      <c r="AH1" t="inlineStr">
        <is>
          <t>07-04-2025</t>
        </is>
      </c>
      <c r="AI1" t="inlineStr">
        <is>
          <t>06-29-2025</t>
        </is>
      </c>
      <c r="AJ1" t="inlineStr">
        <is>
          <t>06-21-2025</t>
        </is>
      </c>
      <c r="AK1" t="inlineStr">
        <is>
          <t>06-15-2025</t>
        </is>
      </c>
      <c r="AL1" t="inlineStr">
        <is>
          <t>06-08-2025</t>
        </is>
      </c>
      <c r="AM1" t="inlineStr">
        <is>
          <t>06-03-2025</t>
        </is>
      </c>
      <c r="AN1" t="inlineStr">
        <is>
          <t>05-25-2025</t>
        </is>
      </c>
      <c r="AO1" t="inlineStr">
        <is>
          <t>05-10-2025</t>
        </is>
      </c>
      <c r="AP1" t="inlineStr">
        <is>
          <t>05-03-2025</t>
        </is>
      </c>
      <c r="AQ1" t="inlineStr">
        <is>
          <t>04-26-2025</t>
        </is>
      </c>
      <c r="AR1" t="inlineStr">
        <is>
          <t>04-19-2025</t>
        </is>
      </c>
      <c r="AS1" t="inlineStr">
        <is>
          <t>04-12-2025</t>
        </is>
      </c>
      <c r="AT1" t="inlineStr">
        <is>
          <t>2025-04-06</t>
        </is>
      </c>
      <c r="AU1" s="27" t="inlineStr">
        <is>
          <t>2025-03-30</t>
        </is>
      </c>
      <c r="AV1" s="27" t="inlineStr">
        <is>
          <t>2025-03-24</t>
        </is>
      </c>
      <c r="AW1" s="27" t="inlineStr">
        <is>
          <t>2025-03-16</t>
        </is>
      </c>
      <c r="AX1" s="72" t="inlineStr">
        <is>
          <t>Account</t>
        </is>
      </c>
    </row>
    <row r="2" ht="15.95" customHeight="1">
      <c r="A2" s="3" t="inlineStr">
        <is>
          <t>ABR</t>
        </is>
      </c>
      <c r="B2" s="24" t="n">
        <v>1050</v>
      </c>
      <c r="C2" s="21" t="n">
        <v>13.8776</v>
      </c>
      <c r="D2" s="21" t="n">
        <v>10.09</v>
      </c>
      <c r="E2" s="1" t="n">
        <v>-108.24</v>
      </c>
      <c r="F2" s="1" t="n">
        <v>-0.12</v>
      </c>
      <c r="G2" s="2" t="n">
        <v>-0.008699999999999999</v>
      </c>
      <c r="H2" s="9">
        <f>B2*D2</f>
        <v/>
      </c>
      <c r="I2" s="16">
        <f>B2*C2</f>
        <v/>
      </c>
      <c r="J2" s="9">
        <f>H2-I2</f>
        <v/>
      </c>
      <c r="K2" s="102" t="n">
        <v>45987.44280092593</v>
      </c>
      <c r="L2" t="inlineStr">
        <is>
          <t>Quarterly</t>
        </is>
      </c>
      <c r="M2" s="8">
        <f>((D2*Q2)/100)/12</f>
        <v/>
      </c>
      <c r="N2" s="8">
        <f>(($B2*$D2)*(P2/100)/12)</f>
        <v/>
      </c>
      <c r="O2" s="8">
        <f>(($B2*$D2)*(Q2/100)/12)</f>
        <v/>
      </c>
      <c r="P2" s="22" t="n">
        <v>14.2</v>
      </c>
      <c r="Q2" s="103" t="n">
        <v>10.39</v>
      </c>
      <c r="R2" s="103" t="n">
        <v>10.29</v>
      </c>
      <c r="S2" s="99" t="n">
        <v>10.11</v>
      </c>
      <c r="T2" s="97" t="n">
        <v>10.42</v>
      </c>
      <c r="U2" s="97" t="n">
        <v>9.65</v>
      </c>
      <c r="V2" s="88" t="n">
        <v>10.04</v>
      </c>
      <c r="W2" s="86" t="n">
        <v>10.3</v>
      </c>
      <c r="X2" s="86" t="n">
        <v>10.09</v>
      </c>
      <c r="Y2" s="80" t="n">
        <v>10.11</v>
      </c>
      <c r="Z2" s="77" t="n">
        <v>10.15</v>
      </c>
      <c r="AA2" s="77" t="n">
        <v>10.14</v>
      </c>
      <c r="AB2" s="75" t="n">
        <v>10.33</v>
      </c>
      <c r="AC2" s="73" t="n">
        <v>10.2</v>
      </c>
      <c r="AD2" s="69" t="n">
        <v>10.75</v>
      </c>
      <c r="AE2" s="66" t="n">
        <v>9.93</v>
      </c>
      <c r="AF2" s="63" t="n">
        <v>10.57</v>
      </c>
      <c r="AG2" s="61" t="n">
        <v>10.67</v>
      </c>
      <c r="AH2" s="56" t="n">
        <v>10.85</v>
      </c>
      <c r="AI2" s="54" t="n">
        <v>11.17</v>
      </c>
      <c r="AJ2" s="52" t="n">
        <v>11.73</v>
      </c>
      <c r="AK2" s="50" t="n">
        <v>11.4</v>
      </c>
      <c r="AL2" s="48" t="n">
        <v>12.11</v>
      </c>
      <c r="AM2" s="46" t="n">
        <v>12.7</v>
      </c>
      <c r="AN2" s="44" t="n">
        <v>13.45</v>
      </c>
      <c r="AO2" s="42" t="n">
        <v>11.55</v>
      </c>
      <c r="AP2" s="40" t="n">
        <v>10.83</v>
      </c>
      <c r="AQ2" s="38" t="n">
        <v>15.4</v>
      </c>
      <c r="AR2" s="36" t="n">
        <v>16.03</v>
      </c>
      <c r="AS2" s="34" t="n">
        <v>16.48</v>
      </c>
      <c r="AT2" s="30" t="n">
        <v>14.68</v>
      </c>
      <c r="AU2" s="25" t="n">
        <v>14.63</v>
      </c>
      <c r="AV2" s="18" t="n">
        <v>14.02</v>
      </c>
      <c r="AW2" s="14" t="n">
        <v>13.86</v>
      </c>
      <c r="AX2" s="10" t="inlineStr">
        <is>
          <t>Etrade</t>
        </is>
      </c>
    </row>
    <row r="3" ht="15.95" customHeight="1">
      <c r="A3" s="3" t="inlineStr">
        <is>
          <t>ACP</t>
        </is>
      </c>
      <c r="B3" s="24" t="n">
        <v>1625</v>
      </c>
      <c r="C3" s="21" t="n">
        <v>6.6412</v>
      </c>
      <c r="D3" s="21" t="n">
        <v>5.57</v>
      </c>
      <c r="E3" s="1" t="n">
        <v>-32.5</v>
      </c>
      <c r="F3" s="1" t="n">
        <v>-0.02</v>
      </c>
      <c r="G3" s="2" t="n">
        <v>-0.0033</v>
      </c>
      <c r="H3" s="9">
        <f>B3*D3</f>
        <v/>
      </c>
      <c r="I3" s="16">
        <f>B3*C3</f>
        <v/>
      </c>
      <c r="J3" s="9">
        <f>H3-I3</f>
        <v/>
      </c>
      <c r="K3" s="102" t="n">
        <v>45961.44280092593</v>
      </c>
      <c r="L3" t="inlineStr">
        <is>
          <t>Monthly</t>
        </is>
      </c>
      <c r="M3" s="8">
        <f>((D3*Q3)/100)/12</f>
        <v/>
      </c>
      <c r="N3" s="8">
        <f>((B3*D3)*(P3/100)/12)</f>
        <v/>
      </c>
      <c r="O3" s="8">
        <f>(($B3*$D3)*(Q3/100)/12)</f>
        <v/>
      </c>
      <c r="P3" s="22" t="n">
        <v>15.53</v>
      </c>
      <c r="Q3" s="104" t="n">
        <v>16.82</v>
      </c>
      <c r="R3" s="104" t="n">
        <v>16.6</v>
      </c>
      <c r="S3" s="100" t="n">
        <v>16.58</v>
      </c>
      <c r="T3" s="98" t="n">
        <v>16.17</v>
      </c>
      <c r="U3" s="98" t="n">
        <v>16.12</v>
      </c>
      <c r="V3" s="89" t="n">
        <v>16.01</v>
      </c>
      <c r="W3" s="87" t="n">
        <v>15.71</v>
      </c>
      <c r="X3" s="87" t="n">
        <v>15.76</v>
      </c>
      <c r="Y3" s="81" t="n">
        <v>15.79</v>
      </c>
      <c r="Z3" s="78" t="n">
        <v>15.66</v>
      </c>
      <c r="AA3" s="78" t="n">
        <v>15.79</v>
      </c>
      <c r="AB3" s="76" t="n">
        <v>15.55</v>
      </c>
      <c r="AC3" s="74" t="n">
        <v>15.63</v>
      </c>
      <c r="AD3" s="70" t="n">
        <v>15.63</v>
      </c>
      <c r="AE3" s="67" t="n">
        <v>15.63</v>
      </c>
      <c r="AF3" s="64" t="n">
        <v>15.6</v>
      </c>
      <c r="AG3" s="62" t="n">
        <v>15.58</v>
      </c>
      <c r="AH3" s="57" t="n">
        <v>15.66</v>
      </c>
      <c r="AI3" s="55" t="n">
        <v>15.87</v>
      </c>
      <c r="AJ3" s="53" t="n">
        <v>15.82</v>
      </c>
      <c r="AK3" s="51" t="n">
        <v>15.76</v>
      </c>
      <c r="AL3" s="49" t="n">
        <v>15.92</v>
      </c>
      <c r="AM3" s="47" t="n">
        <v>15.9</v>
      </c>
      <c r="AN3" s="45" t="n">
        <v>16.23</v>
      </c>
      <c r="AO3" s="43" t="n">
        <v>16.29</v>
      </c>
      <c r="AP3" s="41" t="n">
        <v>16.4</v>
      </c>
      <c r="AQ3" s="38" t="n">
        <v>16.79</v>
      </c>
      <c r="AR3" s="36" t="n">
        <v>16.88</v>
      </c>
      <c r="AS3" s="34" t="n">
        <v>17.35</v>
      </c>
      <c r="AT3" s="30" t="n">
        <v>16.06</v>
      </c>
      <c r="AU3" s="25" t="n">
        <v>15.74</v>
      </c>
      <c r="AV3" s="18" t="n">
        <v>15.5</v>
      </c>
      <c r="AW3" s="15" t="n">
        <v>15.68</v>
      </c>
      <c r="AX3" s="10" t="inlineStr">
        <is>
          <t>Etrade</t>
        </is>
      </c>
    </row>
    <row r="4" ht="15.95" customHeight="1">
      <c r="A4" s="3" t="inlineStr">
        <is>
          <t>AGNC</t>
        </is>
      </c>
      <c r="B4" s="24" t="n">
        <v>736</v>
      </c>
      <c r="C4" s="21" t="n">
        <v>10.37</v>
      </c>
      <c r="D4" s="21" t="n">
        <v>10</v>
      </c>
      <c r="E4" s="1" t="n">
        <v>-51.52</v>
      </c>
      <c r="F4" s="1" t="n">
        <v>-0.07000000000000001</v>
      </c>
      <c r="G4" s="2" t="n">
        <v>-0.0069</v>
      </c>
      <c r="H4" s="9">
        <f>B4*D4</f>
        <v/>
      </c>
      <c r="I4" s="16">
        <f>B4*C4</f>
        <v/>
      </c>
      <c r="J4" s="9">
        <f>H4-I4</f>
        <v/>
      </c>
      <c r="K4" s="102" t="n">
        <v>45973.44280092593</v>
      </c>
      <c r="L4" t="inlineStr">
        <is>
          <t>Monthly</t>
        </is>
      </c>
      <c r="M4" s="8">
        <f>((D4*Q4)/100)/12</f>
        <v/>
      </c>
      <c r="N4" s="8">
        <f>((B4*D4)*(P4/100)/12)</f>
        <v/>
      </c>
      <c r="O4" s="8">
        <f>(($B4*$D4)*(Q4/100)/12)</f>
        <v/>
      </c>
      <c r="P4" s="22" t="n">
        <v>13.81</v>
      </c>
      <c r="Q4" s="104" t="n">
        <v>14.57</v>
      </c>
      <c r="R4" s="104" t="n">
        <v>14.27</v>
      </c>
      <c r="S4" s="100" t="n">
        <v>14.52</v>
      </c>
      <c r="T4" s="98" t="n">
        <v>14.4</v>
      </c>
      <c r="U4" s="98" t="n">
        <v>14.39</v>
      </c>
      <c r="V4" s="89" t="n">
        <v>14.75</v>
      </c>
      <c r="W4" s="87" t="n">
        <v>14.26</v>
      </c>
      <c r="X4" s="87" t="n">
        <v>14.08</v>
      </c>
      <c r="Y4" s="81" t="n">
        <v>14.12</v>
      </c>
      <c r="Z4" s="78" t="n">
        <v>14.89</v>
      </c>
      <c r="AA4" s="78" t="n">
        <v>14.57</v>
      </c>
      <c r="AB4" s="76" t="n">
        <v>14.98</v>
      </c>
      <c r="AC4" s="74" t="n">
        <v>15.3</v>
      </c>
      <c r="AD4" s="70" t="n">
        <v>15.27</v>
      </c>
      <c r="AE4" s="67" t="n">
        <v>14.83</v>
      </c>
      <c r="AF4" s="64" t="n">
        <v>15.52</v>
      </c>
      <c r="AG4" s="62" t="n">
        <v>15.24</v>
      </c>
      <c r="AH4" s="57" t="n">
        <v>15.29</v>
      </c>
      <c r="AI4" s="55" t="n">
        <v>15.45</v>
      </c>
      <c r="AJ4" s="53" t="n">
        <v>15.55</v>
      </c>
      <c r="AK4" s="51" t="n">
        <v>15.32</v>
      </c>
      <c r="AL4" s="49" t="n">
        <v>15.93</v>
      </c>
      <c r="AM4" s="47" t="n">
        <v>16.31</v>
      </c>
      <c r="AN4" s="45" t="n">
        <v>16.35</v>
      </c>
      <c r="AO4" s="43" t="n">
        <v>16.22</v>
      </c>
      <c r="AP4" s="41" t="n">
        <v>16.35</v>
      </c>
      <c r="AQ4" s="38" t="n">
        <v>16.51</v>
      </c>
      <c r="AR4" s="36" t="n">
        <v>17.35</v>
      </c>
      <c r="AS4" s="34" t="n">
        <v>17.73</v>
      </c>
      <c r="AT4" s="30" t="n">
        <v>15.42</v>
      </c>
      <c r="AU4" s="25" t="n">
        <v>15.13</v>
      </c>
      <c r="AV4" s="19" t="n">
        <v>14.17</v>
      </c>
      <c r="AW4" s="15" t="n">
        <v>14.06</v>
      </c>
      <c r="AX4" s="10" t="inlineStr">
        <is>
          <t>Etrade</t>
        </is>
      </c>
    </row>
    <row r="5" ht="15.95" customHeight="1">
      <c r="A5" s="3" t="inlineStr">
        <is>
          <t>BITO</t>
        </is>
      </c>
      <c r="B5" s="24" t="n">
        <v>440</v>
      </c>
      <c r="C5" s="21" t="n">
        <v>28.0018</v>
      </c>
      <c r="D5" s="21" t="n">
        <v>18.08</v>
      </c>
      <c r="E5" s="1" t="n">
        <v>-118.8</v>
      </c>
      <c r="F5" s="1" t="n">
        <v>-0.27</v>
      </c>
      <c r="G5" s="2" t="n">
        <v>-0.012</v>
      </c>
      <c r="H5" s="9">
        <f>B5*D5</f>
        <v/>
      </c>
      <c r="I5" s="16">
        <f>B5*C5</f>
        <v/>
      </c>
      <c r="J5" s="9">
        <f>H5-I5</f>
        <v/>
      </c>
      <c r="K5" s="102" t="n">
        <v>45968.44280092593</v>
      </c>
      <c r="L5" t="inlineStr">
        <is>
          <t>Monthly</t>
        </is>
      </c>
      <c r="M5" s="8">
        <f>((D5*Q5)/100)/12</f>
        <v/>
      </c>
      <c r="N5" s="8">
        <f>((B5*D5)*(P5/100)/12)</f>
        <v/>
      </c>
      <c r="O5" s="8">
        <f>(($B5*$D5)*(Q5/100)/12)</f>
        <v/>
      </c>
      <c r="P5" s="22" t="n">
        <v>57.07</v>
      </c>
      <c r="Q5" s="104" t="n">
        <v>58.53</v>
      </c>
      <c r="R5" s="103" t="n">
        <v>56.53</v>
      </c>
      <c r="S5" s="100" t="n">
        <v>57.51</v>
      </c>
      <c r="T5" s="97" t="n">
        <v>51.36</v>
      </c>
      <c r="U5" s="97" t="n">
        <v>51.3</v>
      </c>
      <c r="V5" s="88" t="n">
        <v>56.39</v>
      </c>
      <c r="W5" s="86" t="n">
        <v>52.38</v>
      </c>
      <c r="X5" s="86" t="n">
        <v>53.7</v>
      </c>
      <c r="Y5" s="80" t="n">
        <v>55.97</v>
      </c>
      <c r="Z5" s="77" t="n">
        <v>54.07</v>
      </c>
      <c r="AA5" s="77" t="n">
        <v>51.89</v>
      </c>
      <c r="AB5" s="75" t="n">
        <v>51.21</v>
      </c>
      <c r="AC5" s="73" t="n">
        <v>51.36</v>
      </c>
      <c r="AD5" s="69" t="n">
        <v>51.67</v>
      </c>
      <c r="AE5" s="66" t="n">
        <v>49.83</v>
      </c>
      <c r="AF5" s="63" t="n">
        <v>48.92</v>
      </c>
      <c r="AG5" s="61" t="n">
        <v>51.27</v>
      </c>
      <c r="AH5" s="56" t="n">
        <v>52.94</v>
      </c>
      <c r="AI5" s="54" t="n">
        <v>55.31</v>
      </c>
      <c r="AJ5" s="53" t="n">
        <v>57.33</v>
      </c>
      <c r="AK5" s="50" t="n">
        <v>55.67</v>
      </c>
      <c r="AL5" s="49" t="n">
        <v>58.32</v>
      </c>
      <c r="AM5" s="46" t="n">
        <v>56.87</v>
      </c>
      <c r="AN5" s="44" t="n">
        <v>54.14</v>
      </c>
      <c r="AO5" s="43" t="n">
        <v>59.28</v>
      </c>
      <c r="AP5" s="41" t="n">
        <v>62.12</v>
      </c>
      <c r="AQ5" s="38" t="n">
        <v>67.78</v>
      </c>
      <c r="AR5" s="36" t="n">
        <v>75.31999999999999</v>
      </c>
      <c r="AS5" s="34" t="n">
        <v>79.84</v>
      </c>
      <c r="AT5" s="30" t="n">
        <v>77.52</v>
      </c>
      <c r="AU5" s="25" t="n">
        <v>74.83</v>
      </c>
      <c r="AV5" s="19" t="n">
        <v>74.83</v>
      </c>
      <c r="AW5" s="15" t="n">
        <v>74.83</v>
      </c>
      <c r="AX5" s="10" t="inlineStr">
        <is>
          <t>Etrade</t>
        </is>
      </c>
    </row>
    <row r="6" ht="15.95" customHeight="1">
      <c r="A6" s="3" t="inlineStr">
        <is>
          <t>BRSP</t>
        </is>
      </c>
      <c r="B6" s="24" t="n">
        <v>568</v>
      </c>
      <c r="C6" s="21" t="n">
        <v>5.7</v>
      </c>
      <c r="D6" s="21" t="n">
        <v>5.16</v>
      </c>
      <c r="E6" s="1" t="n">
        <v>-28.4</v>
      </c>
      <c r="F6" s="1" t="n">
        <v>-0.05</v>
      </c>
      <c r="G6" s="2" t="n">
        <v>-0.008699999999999999</v>
      </c>
      <c r="H6" s="9">
        <f>B6*D6</f>
        <v/>
      </c>
      <c r="I6" s="16">
        <f>B6*C6</f>
        <v/>
      </c>
      <c r="J6" s="9">
        <f>H6-I6</f>
        <v/>
      </c>
      <c r="K6" s="102" t="n">
        <v>45945.4428125</v>
      </c>
      <c r="L6" t="inlineStr">
        <is>
          <t>Quarterly</t>
        </is>
      </c>
      <c r="M6" s="8">
        <f>((D6*Q6)/100)/12</f>
        <v/>
      </c>
      <c r="N6" s="8">
        <f>((B6*D6)*(P6/100)/12)</f>
        <v/>
      </c>
      <c r="O6" s="8">
        <f>(($B6*$D6)*(Q6/100)/12)</f>
        <v/>
      </c>
      <c r="P6" s="22" t="n">
        <v>10.31</v>
      </c>
      <c r="Q6" s="104" t="n">
        <v>12.31</v>
      </c>
      <c r="R6" s="104" t="n">
        <v>12.05</v>
      </c>
      <c r="S6" s="100" t="n">
        <v>12.36</v>
      </c>
      <c r="T6" s="98" t="n">
        <v>12.52</v>
      </c>
      <c r="U6" s="98" t="n">
        <v>11.9</v>
      </c>
      <c r="V6" s="89" t="n">
        <v>11.41</v>
      </c>
      <c r="W6" s="87" t="n">
        <v>11.09</v>
      </c>
      <c r="X6" s="87" t="n">
        <v>10.77</v>
      </c>
      <c r="Y6" s="81" t="n">
        <v>10.85</v>
      </c>
      <c r="Z6" s="78" t="n">
        <v>11.21</v>
      </c>
      <c r="AA6" s="78" t="n">
        <v>11.09</v>
      </c>
      <c r="AB6" s="76" t="n">
        <v>11.49</v>
      </c>
      <c r="AC6" s="74" t="n">
        <v>11.98</v>
      </c>
      <c r="AD6" s="70" t="n">
        <v>12.36</v>
      </c>
      <c r="AE6" s="67" t="n">
        <v>13.03</v>
      </c>
      <c r="AF6" s="64" t="n">
        <v>12.88</v>
      </c>
      <c r="AG6" s="62" t="n">
        <v>12.55</v>
      </c>
      <c r="AH6" s="57" t="n">
        <v>12.24</v>
      </c>
      <c r="AI6" s="55" t="n">
        <v>12.17</v>
      </c>
      <c r="AJ6" s="53" t="n">
        <v>12.5</v>
      </c>
      <c r="AK6" s="51" t="n">
        <v>11.96</v>
      </c>
      <c r="AL6" s="49" t="n">
        <v>12.6</v>
      </c>
      <c r="AM6" s="47" t="n">
        <v>12.7</v>
      </c>
      <c r="AN6" s="45" t="n">
        <v>12.6</v>
      </c>
      <c r="AO6" s="43" t="n">
        <v>12.28</v>
      </c>
      <c r="AP6" s="41" t="n">
        <v>12.77</v>
      </c>
      <c r="AQ6" s="38" t="n">
        <v>13.53</v>
      </c>
      <c r="AR6" s="36" t="n">
        <v>14.48</v>
      </c>
      <c r="AS6" s="34" t="n">
        <v>14.41</v>
      </c>
      <c r="AT6" s="30" t="n">
        <v>11.83</v>
      </c>
      <c r="AU6" s="25" t="n">
        <v>11.27</v>
      </c>
      <c r="AV6" s="19" t="n">
        <v>10.77</v>
      </c>
      <c r="AW6" s="15" t="n">
        <v>10.65</v>
      </c>
      <c r="AX6" s="10" t="inlineStr">
        <is>
          <t>Etrade</t>
        </is>
      </c>
    </row>
    <row r="7" ht="15.95" customHeight="1">
      <c r="A7" s="3" t="inlineStr">
        <is>
          <t>CHMI</t>
        </is>
      </c>
      <c r="B7" s="24" t="n">
        <v>2425</v>
      </c>
      <c r="C7" s="21" t="n">
        <v>3.39928</v>
      </c>
      <c r="D7" s="21" t="n">
        <v>2.37</v>
      </c>
      <c r="E7" s="1" t="n">
        <v>-242.5</v>
      </c>
      <c r="F7" s="1" t="n">
        <v>-0.1</v>
      </c>
      <c r="G7" s="2" t="n">
        <v>-0.0287</v>
      </c>
      <c r="H7" s="9">
        <f>B7*D7</f>
        <v/>
      </c>
      <c r="I7" s="16">
        <f>B7*C7</f>
        <v/>
      </c>
      <c r="J7" s="9">
        <f>H7-I7</f>
        <v/>
      </c>
      <c r="K7" s="102" t="n">
        <v>45961.4428125</v>
      </c>
      <c r="L7" t="inlineStr">
        <is>
          <t>Quarterly</t>
        </is>
      </c>
      <c r="M7" s="8">
        <f>((D7*Q7)/100)/12</f>
        <v/>
      </c>
      <c r="N7" s="8">
        <f>((B7*D7)*(P7/100)/12)</f>
        <v/>
      </c>
      <c r="O7" s="8">
        <f>(($B7*$D7)*(Q7/100)/12)</f>
        <v/>
      </c>
      <c r="P7" s="22" t="n">
        <v>17</v>
      </c>
      <c r="Q7" s="104" t="n">
        <v>23.71</v>
      </c>
      <c r="R7" s="104" t="n">
        <v>22.63</v>
      </c>
      <c r="S7" s="100" t="n">
        <v>22.82</v>
      </c>
      <c r="T7" s="98" t="n">
        <v>22.63</v>
      </c>
      <c r="U7" s="98" t="n">
        <v>22.45</v>
      </c>
      <c r="V7" s="89" t="n">
        <v>22.09</v>
      </c>
      <c r="W7" s="87" t="n">
        <v>21.07</v>
      </c>
      <c r="X7" s="87" t="n">
        <v>20.13</v>
      </c>
      <c r="Y7" s="81" t="n">
        <v>20.69</v>
      </c>
      <c r="Z7" s="78" t="n">
        <v>20.91</v>
      </c>
      <c r="AA7" s="78" t="n">
        <v>20.55</v>
      </c>
      <c r="AB7" s="76" t="n">
        <v>20.41</v>
      </c>
      <c r="AC7" s="74" t="n">
        <v>21.51</v>
      </c>
      <c r="AD7" s="70" t="n">
        <v>21.58</v>
      </c>
      <c r="AE7" s="67" t="n">
        <v>22.22</v>
      </c>
      <c r="AF7" s="64" t="n">
        <v>22.56</v>
      </c>
      <c r="AG7" s="62" t="n">
        <v>21.43</v>
      </c>
      <c r="AH7" s="57" t="n">
        <v>21.66</v>
      </c>
      <c r="AI7" s="55" t="n">
        <v>20.13</v>
      </c>
      <c r="AJ7" s="53" t="n">
        <v>20.55</v>
      </c>
      <c r="AK7" s="51" t="n">
        <v>20.13</v>
      </c>
      <c r="AL7" s="49" t="n">
        <v>20.2</v>
      </c>
      <c r="AM7" s="47" t="n">
        <v>20.34</v>
      </c>
      <c r="AN7" s="45" t="n">
        <v>20.13</v>
      </c>
      <c r="AO7" s="43" t="n">
        <v>19.8</v>
      </c>
      <c r="AP7" s="41" t="n">
        <v>20.34</v>
      </c>
      <c r="AQ7" s="38" t="n">
        <v>22.39</v>
      </c>
      <c r="AR7" s="36" t="n">
        <v>22.39</v>
      </c>
      <c r="AS7" s="34" t="n">
        <v>24.49</v>
      </c>
      <c r="AT7" s="30" t="n">
        <v>19.29</v>
      </c>
      <c r="AU7" s="25" t="n">
        <v>17.44</v>
      </c>
      <c r="AV7" s="18" t="n">
        <v>16.67</v>
      </c>
      <c r="AW7" s="14" t="n">
        <v>16.67</v>
      </c>
      <c r="AX7" s="10" t="inlineStr">
        <is>
          <t>Etrade</t>
        </is>
      </c>
    </row>
    <row r="8" ht="15.95" customHeight="1">
      <c r="A8" s="3" t="inlineStr">
        <is>
          <t>DSL</t>
        </is>
      </c>
      <c r="B8" s="24" t="n">
        <v>260</v>
      </c>
      <c r="C8" s="21" t="n">
        <v>12.5</v>
      </c>
      <c r="D8" s="21" t="n">
        <v>11.77</v>
      </c>
      <c r="E8" s="1" t="n">
        <v>5.2</v>
      </c>
      <c r="F8" s="1" t="n">
        <v>0.02</v>
      </c>
      <c r="G8" s="2" t="n">
        <v>0.0016</v>
      </c>
      <c r="H8" s="9">
        <f>B8*D8</f>
        <v/>
      </c>
      <c r="I8" s="16">
        <f>B8*C8</f>
        <v/>
      </c>
      <c r="J8" s="9">
        <f>H8-I8</f>
        <v/>
      </c>
      <c r="K8" s="102" t="n">
        <v>45961.4428125</v>
      </c>
      <c r="L8" t="inlineStr">
        <is>
          <t>Monthly</t>
        </is>
      </c>
      <c r="M8" s="8">
        <f>((D8*Q8)/100)/12</f>
        <v/>
      </c>
      <c r="N8" s="8">
        <f>((B8*D8)*(P8/100)/12)</f>
        <v/>
      </c>
      <c r="O8" s="8">
        <f>(($B8*$D8)*(Q8/100)/12)</f>
        <v/>
      </c>
      <c r="P8" s="22" t="n">
        <v>12.75</v>
      </c>
      <c r="Q8" s="103" t="n">
        <v>11.25</v>
      </c>
      <c r="R8" s="103" t="n">
        <v>11.17</v>
      </c>
      <c r="S8" s="99" t="n">
        <v>11.2</v>
      </c>
      <c r="T8" s="97" t="n">
        <v>10.75</v>
      </c>
      <c r="U8" s="97" t="n">
        <v>10.71</v>
      </c>
      <c r="V8" s="88" t="n">
        <v>10.71</v>
      </c>
      <c r="W8" s="86" t="n">
        <v>10.7</v>
      </c>
      <c r="X8" s="86" t="n">
        <v>10.42</v>
      </c>
      <c r="Y8" s="80" t="n">
        <v>10.56</v>
      </c>
      <c r="Z8" s="77" t="n">
        <v>10.58</v>
      </c>
      <c r="AA8" s="77" t="n">
        <v>10.76</v>
      </c>
      <c r="AB8" s="75" t="n">
        <v>10.77</v>
      </c>
      <c r="AC8" s="73" t="n">
        <v>10.83</v>
      </c>
      <c r="AD8" s="69" t="n">
        <v>10.86</v>
      </c>
      <c r="AE8" s="66" t="n">
        <v>10.97</v>
      </c>
      <c r="AF8" s="63" t="n">
        <v>10.97</v>
      </c>
      <c r="AG8" s="61" t="n">
        <v>10.86</v>
      </c>
      <c r="AH8" s="56" t="n">
        <v>10.78</v>
      </c>
      <c r="AI8" s="54" t="n">
        <v>10.78</v>
      </c>
      <c r="AJ8" s="52" t="n">
        <v>10.95</v>
      </c>
      <c r="AK8" s="50" t="n">
        <v>10.71</v>
      </c>
      <c r="AL8" s="48" t="n">
        <v>10.73</v>
      </c>
      <c r="AM8" s="46" t="n">
        <v>10.78</v>
      </c>
      <c r="AN8" s="44" t="n">
        <v>10.99</v>
      </c>
      <c r="AO8" s="42" t="n">
        <v>10.91</v>
      </c>
      <c r="AP8" s="40" t="n">
        <v>10.95</v>
      </c>
      <c r="AQ8" s="39" t="n">
        <v>11.15</v>
      </c>
      <c r="AR8" s="37" t="n">
        <v>11.38</v>
      </c>
      <c r="AS8" s="35" t="n">
        <v>11.71</v>
      </c>
      <c r="AT8" s="31" t="n">
        <v>10.69</v>
      </c>
      <c r="AU8" s="25" t="n">
        <v>12.75</v>
      </c>
      <c r="AV8" s="19" t="n">
        <v>12.75</v>
      </c>
      <c r="AW8" s="15" t="n">
        <v>12.75</v>
      </c>
      <c r="AX8" s="10" t="inlineStr">
        <is>
          <t>Etrade</t>
        </is>
      </c>
    </row>
    <row r="9" ht="15.95" customHeight="1">
      <c r="A9" s="3" t="inlineStr">
        <is>
          <t>DX</t>
        </is>
      </c>
      <c r="B9" s="24" t="n">
        <v>625</v>
      </c>
      <c r="C9" s="21" t="n">
        <v>11.9018</v>
      </c>
      <c r="D9" s="21" t="n">
        <v>13.24</v>
      </c>
      <c r="E9" s="1" t="n">
        <v>-37.94</v>
      </c>
      <c r="F9" s="1" t="n">
        <v>-0.07000000000000001</v>
      </c>
      <c r="G9" s="2" t="n">
        <v>-0.0052</v>
      </c>
      <c r="H9" s="9">
        <f>B9*D9</f>
        <v/>
      </c>
      <c r="I9" s="16">
        <f>B9*C9</f>
        <v/>
      </c>
      <c r="J9" s="9">
        <f>H9-I9</f>
        <v/>
      </c>
      <c r="K9" s="102" t="n">
        <v>45964.4428125</v>
      </c>
      <c r="L9" t="inlineStr">
        <is>
          <t>Monthly</t>
        </is>
      </c>
      <c r="M9" s="8">
        <f>((D9*Q9)/100)/12</f>
        <v/>
      </c>
      <c r="N9" s="8">
        <f>((B9*D9)*(P9/100)/12)</f>
        <v/>
      </c>
      <c r="O9" s="8">
        <f>(($B9*$D9)*(Q9/100)/12)</f>
        <v/>
      </c>
      <c r="P9" s="22" t="n">
        <v>14.62</v>
      </c>
      <c r="Q9" s="104" t="n">
        <v>15.55</v>
      </c>
      <c r="R9" s="104" t="n">
        <v>15.42</v>
      </c>
      <c r="S9" s="100" t="n">
        <v>15.45</v>
      </c>
      <c r="T9" s="98" t="n">
        <v>15.74</v>
      </c>
      <c r="U9" s="98" t="n">
        <v>16.11</v>
      </c>
      <c r="V9" s="89" t="n">
        <v>16.94</v>
      </c>
      <c r="W9" s="87" t="n">
        <v>16.49</v>
      </c>
      <c r="X9" s="87" t="n">
        <v>16.24</v>
      </c>
      <c r="Y9" s="81" t="n">
        <v>15.97</v>
      </c>
      <c r="Z9" s="78" t="n">
        <v>16.33</v>
      </c>
      <c r="AA9" s="78" t="n">
        <v>16.37</v>
      </c>
      <c r="AB9" s="76" t="n">
        <v>16.23</v>
      </c>
      <c r="AC9" s="74" t="n">
        <v>16.55</v>
      </c>
      <c r="AD9" s="70" t="n">
        <v>16.4</v>
      </c>
      <c r="AE9" s="67" t="n">
        <v>16</v>
      </c>
      <c r="AF9" s="64" t="n">
        <v>16.22</v>
      </c>
      <c r="AG9" s="62" t="n">
        <v>15.89</v>
      </c>
      <c r="AH9" s="57" t="n">
        <v>16.25</v>
      </c>
      <c r="AI9" s="55" t="n">
        <v>16.72</v>
      </c>
      <c r="AJ9" s="53" t="n">
        <v>16.71</v>
      </c>
      <c r="AK9" s="51" t="n">
        <v>16.45</v>
      </c>
      <c r="AL9" s="49" t="n">
        <v>16.86</v>
      </c>
      <c r="AM9" s="47" t="n">
        <v>17.16</v>
      </c>
      <c r="AN9" s="45" t="n">
        <v>17.26</v>
      </c>
      <c r="AO9" s="43" t="n">
        <v>16.43</v>
      </c>
      <c r="AP9" s="41" t="n">
        <v>16.73</v>
      </c>
      <c r="AQ9" s="38" t="n">
        <v>17.03</v>
      </c>
      <c r="AR9" s="36" t="n">
        <v>17.6</v>
      </c>
      <c r="AS9" s="34" t="n">
        <v>18.33</v>
      </c>
      <c r="AT9" s="30" t="n">
        <v>16.06</v>
      </c>
      <c r="AU9" s="25" t="n">
        <v>15.63</v>
      </c>
      <c r="AV9" s="18" t="n">
        <v>14.53</v>
      </c>
      <c r="AW9" s="14" t="n">
        <v>14.35</v>
      </c>
      <c r="AX9" s="10" t="inlineStr">
        <is>
          <t>Etrade</t>
        </is>
      </c>
    </row>
    <row r="10" ht="15.95" customHeight="1">
      <c r="A10" s="3" t="inlineStr">
        <is>
          <t>ECC</t>
        </is>
      </c>
      <c r="B10" s="24" t="n">
        <v>1142</v>
      </c>
      <c r="C10" s="21" t="n">
        <v>10.0969</v>
      </c>
      <c r="D10" s="21" t="n">
        <v>6.21</v>
      </c>
      <c r="E10" s="1" t="n">
        <v>30.36</v>
      </c>
      <c r="F10" s="1" t="n">
        <v>0.03</v>
      </c>
      <c r="G10" s="2" t="n">
        <v>0.0034</v>
      </c>
      <c r="H10" s="9">
        <f>B10*D10</f>
        <v/>
      </c>
      <c r="I10" s="16">
        <f>B10*C10</f>
        <v/>
      </c>
      <c r="J10" s="9">
        <f>H10-I10</f>
        <v/>
      </c>
      <c r="K10" s="102" t="n">
        <v>45989.4428125</v>
      </c>
      <c r="L10" t="inlineStr">
        <is>
          <t>Monthly</t>
        </is>
      </c>
      <c r="M10" s="8">
        <f>((D10*Q10)/100)/12</f>
        <v/>
      </c>
      <c r="N10" s="8">
        <f>((B10*D10)*(P10/100)/12)</f>
        <v/>
      </c>
      <c r="O10" s="8">
        <f>(($B10*$D10)*(Q10/100)/12)</f>
        <v/>
      </c>
      <c r="P10" s="22" t="n">
        <v>19.35</v>
      </c>
      <c r="Q10" s="104" t="n">
        <v>27.91</v>
      </c>
      <c r="R10" s="104" t="n">
        <v>27.5</v>
      </c>
      <c r="S10" s="100" t="n">
        <v>27.63</v>
      </c>
      <c r="T10" s="98" t="n">
        <v>24.93</v>
      </c>
      <c r="U10" s="98" t="n">
        <v>24.38</v>
      </c>
      <c r="V10" s="89" t="n">
        <v>25.49</v>
      </c>
      <c r="W10" s="87" t="n">
        <v>24</v>
      </c>
      <c r="X10" s="87" t="n">
        <v>23.83</v>
      </c>
      <c r="Y10" s="81" t="n">
        <v>21.82</v>
      </c>
      <c r="Z10" s="78" t="n">
        <v>22.89</v>
      </c>
      <c r="AA10" s="78" t="n">
        <v>23.86</v>
      </c>
      <c r="AB10" s="76" t="n">
        <v>25.23</v>
      </c>
      <c r="AC10" s="74" t="n">
        <v>26.21</v>
      </c>
      <c r="AD10" s="70" t="n">
        <v>24.42</v>
      </c>
      <c r="AE10" s="67" t="n">
        <v>24.31</v>
      </c>
      <c r="AF10" s="64" t="n">
        <v>22.67</v>
      </c>
      <c r="AG10" s="62" t="n">
        <v>21.93</v>
      </c>
      <c r="AH10" s="57" t="n">
        <v>21.65</v>
      </c>
      <c r="AI10" s="55" t="n">
        <v>22.31</v>
      </c>
      <c r="AJ10" s="53" t="n">
        <v>22.31</v>
      </c>
      <c r="AK10" s="51" t="n">
        <v>22.16</v>
      </c>
      <c r="AL10" s="49" t="n">
        <v>21.65</v>
      </c>
      <c r="AM10" s="47" t="n">
        <v>21.37</v>
      </c>
      <c r="AN10" s="45" t="n">
        <v>22.58</v>
      </c>
      <c r="AO10" s="43" t="n">
        <v>21.03</v>
      </c>
      <c r="AP10" s="41" t="n">
        <v>21.62</v>
      </c>
      <c r="AQ10" s="38" t="n">
        <v>21.76</v>
      </c>
      <c r="AR10" s="36" t="n">
        <v>23.05</v>
      </c>
      <c r="AS10" s="34" t="n">
        <v>23.08</v>
      </c>
      <c r="AT10" s="30" t="n">
        <v>21.71</v>
      </c>
      <c r="AU10" s="25" t="n">
        <v>20.87</v>
      </c>
      <c r="AV10" s="19" t="n">
        <v>21.21</v>
      </c>
      <c r="AW10" s="15" t="n">
        <v>20.39</v>
      </c>
      <c r="AX10" s="10" t="inlineStr">
        <is>
          <t>Etrade</t>
        </is>
      </c>
    </row>
    <row r="11" ht="15.95" customHeight="1">
      <c r="A11" s="3" t="inlineStr">
        <is>
          <t>EIC</t>
        </is>
      </c>
      <c r="B11" s="24" t="n">
        <v>466</v>
      </c>
      <c r="C11" s="21" t="n">
        <v>15.65</v>
      </c>
      <c r="D11" s="21" t="n">
        <v>12.97</v>
      </c>
      <c r="E11" s="1" t="n">
        <v>-18.64</v>
      </c>
      <c r="F11" s="1" t="n">
        <v>-0.04</v>
      </c>
      <c r="G11" s="2" t="n">
        <v>-0.0025</v>
      </c>
      <c r="H11" s="9">
        <f>B11*D11</f>
        <v/>
      </c>
      <c r="I11" s="16">
        <f>B11*C11</f>
        <v/>
      </c>
      <c r="J11" s="9">
        <f>H11-I11</f>
        <v/>
      </c>
      <c r="K11" s="102" t="n">
        <v>45989.4428125</v>
      </c>
      <c r="L11" t="inlineStr">
        <is>
          <t>Monthly</t>
        </is>
      </c>
      <c r="M11" s="8">
        <f>((D11*Q11)/100)/12</f>
        <v/>
      </c>
      <c r="N11" s="8">
        <f>((B11*D11)*(P11/100)/12)</f>
        <v/>
      </c>
      <c r="O11" s="8">
        <f>(($B11*$D11)*(Q11/100)/12)</f>
        <v/>
      </c>
      <c r="P11" s="22" t="n">
        <v>15.23</v>
      </c>
      <c r="Q11" s="103" t="n">
        <v>12.2</v>
      </c>
      <c r="R11" s="103" t="n">
        <v>12.42</v>
      </c>
      <c r="S11" s="99" t="n">
        <v>12.63</v>
      </c>
      <c r="T11" s="97" t="n">
        <v>12.27</v>
      </c>
      <c r="U11" s="97" t="n">
        <v>11.67</v>
      </c>
      <c r="V11" s="88" t="n">
        <v>11.88</v>
      </c>
      <c r="W11" s="86" t="n">
        <v>11.94</v>
      </c>
      <c r="X11" s="86" t="n">
        <v>11.68</v>
      </c>
      <c r="Y11" s="80" t="n">
        <v>11.21</v>
      </c>
      <c r="Z11" s="77" t="n">
        <v>11.26</v>
      </c>
      <c r="AA11" s="77" t="n">
        <v>11.7</v>
      </c>
      <c r="AB11" s="75" t="n">
        <v>12.01</v>
      </c>
      <c r="AC11" s="73" t="n">
        <v>12.73</v>
      </c>
      <c r="AD11" s="69" t="n">
        <v>12.01</v>
      </c>
      <c r="AE11" s="66" t="n">
        <v>12.05</v>
      </c>
      <c r="AF11" s="63" t="n">
        <v>11.61</v>
      </c>
      <c r="AG11" s="61" t="n">
        <v>11.24</v>
      </c>
      <c r="AH11" s="56" t="n">
        <v>11.35</v>
      </c>
      <c r="AI11" s="54" t="n">
        <v>11.62</v>
      </c>
      <c r="AJ11" s="52" t="n">
        <v>11.66</v>
      </c>
      <c r="AK11" s="50" t="n">
        <v>11.86</v>
      </c>
      <c r="AL11" s="48" t="n">
        <v>12.17</v>
      </c>
      <c r="AM11" s="46" t="n">
        <v>11.8</v>
      </c>
      <c r="AN11" s="45" t="n">
        <v>16.72</v>
      </c>
      <c r="AO11" s="43" t="n">
        <v>16.67</v>
      </c>
      <c r="AP11" s="41" t="n">
        <v>17.13</v>
      </c>
      <c r="AQ11" s="38" t="n">
        <v>17.13</v>
      </c>
      <c r="AR11" s="36" t="n">
        <v>17.38</v>
      </c>
      <c r="AS11" s="34" t="n">
        <v>17.08</v>
      </c>
      <c r="AT11" s="30" t="n">
        <v>16.18</v>
      </c>
      <c r="AU11" s="25" t="n">
        <v>16.02</v>
      </c>
      <c r="AV11" s="19" t="n">
        <v>16.04</v>
      </c>
      <c r="AW11" s="15" t="n">
        <v>15.75</v>
      </c>
      <c r="AX11" s="10" t="inlineStr">
        <is>
          <t>Etrade</t>
        </is>
      </c>
    </row>
    <row r="12" ht="15.95" customHeight="1">
      <c r="A12" s="3" t="inlineStr">
        <is>
          <t>MORT</t>
        </is>
      </c>
      <c r="B12" s="24" t="n">
        <v>90</v>
      </c>
      <c r="C12" s="21" t="n">
        <v>11.3</v>
      </c>
      <c r="D12" s="21" t="n">
        <v>10.35</v>
      </c>
      <c r="E12" s="1" t="n">
        <v>-18.9</v>
      </c>
      <c r="F12" s="1" t="n">
        <v>-0.21</v>
      </c>
      <c r="G12" s="2" t="n">
        <v>-0.0187</v>
      </c>
      <c r="H12" s="9">
        <f>B12*D12</f>
        <v/>
      </c>
      <c r="I12" s="16">
        <f>B12*C12</f>
        <v/>
      </c>
      <c r="J12" s="9">
        <f>H12-I12</f>
        <v/>
      </c>
      <c r="K12" s="102" t="n">
        <v>45936.4428125</v>
      </c>
      <c r="L12" t="inlineStr">
        <is>
          <t>Quarterly</t>
        </is>
      </c>
      <c r="M12" s="8">
        <f>((D12*Q12)/100)/12</f>
        <v/>
      </c>
      <c r="N12" s="8">
        <f>((B12*D12)*(P12/100)/12)</f>
        <v/>
      </c>
      <c r="O12" s="8">
        <f>(($B12*$D12)*(Q12/100)/12)</f>
        <v/>
      </c>
      <c r="P12" s="22" t="n">
        <v>10.83</v>
      </c>
      <c r="Q12" s="104" t="n">
        <v>13.19</v>
      </c>
      <c r="R12" s="104" t="n">
        <v>12.99</v>
      </c>
      <c r="S12" s="100" t="n">
        <v>13.22</v>
      </c>
      <c r="T12" s="98" t="n">
        <v>13.14</v>
      </c>
      <c r="U12" s="98" t="n">
        <v>12.93</v>
      </c>
      <c r="V12" s="89" t="n">
        <v>12.28</v>
      </c>
      <c r="W12" s="87" t="n">
        <v>11.98</v>
      </c>
      <c r="X12" s="87" t="n">
        <v>11.76</v>
      </c>
      <c r="Y12" s="81" t="n">
        <v>11.72</v>
      </c>
      <c r="Z12" s="78" t="n">
        <v>12.09</v>
      </c>
      <c r="AA12" s="78" t="n">
        <v>12</v>
      </c>
      <c r="AB12" s="76" t="n">
        <v>12.22</v>
      </c>
      <c r="AC12" s="74" t="n">
        <v>12.42</v>
      </c>
      <c r="AD12" s="70" t="n">
        <v>12.61</v>
      </c>
      <c r="AE12" s="67" t="n">
        <v>12.19</v>
      </c>
      <c r="AF12" s="64" t="n">
        <v>12.52</v>
      </c>
      <c r="AG12" s="62" t="n">
        <v>12.31</v>
      </c>
      <c r="AH12" s="57" t="n">
        <v>12.43</v>
      </c>
      <c r="AI12" s="55" t="n">
        <v>12.4</v>
      </c>
      <c r="AJ12" s="53" t="n">
        <v>12.61</v>
      </c>
      <c r="AK12" s="51" t="n">
        <v>12.38</v>
      </c>
      <c r="AL12" s="49" t="n">
        <v>12.76</v>
      </c>
      <c r="AM12" s="47" t="n">
        <v>13.02</v>
      </c>
      <c r="AN12" s="45" t="n">
        <v>13.05</v>
      </c>
      <c r="AO12" s="43" t="n">
        <v>12.76</v>
      </c>
      <c r="AP12" s="41" t="n">
        <v>12.78</v>
      </c>
      <c r="AQ12" s="38" t="n">
        <v>13.17</v>
      </c>
      <c r="AR12" s="36" t="n">
        <v>13.88</v>
      </c>
      <c r="AS12" s="34" t="n">
        <v>14.2</v>
      </c>
      <c r="AT12" s="30" t="n">
        <v>12.43</v>
      </c>
      <c r="AU12" s="26" t="n">
        <v>10.41</v>
      </c>
      <c r="AV12" s="19" t="n">
        <v>10.83</v>
      </c>
      <c r="AW12" s="15" t="n">
        <v>10.83</v>
      </c>
      <c r="AX12" s="10" t="inlineStr">
        <is>
          <t>Etrade</t>
        </is>
      </c>
    </row>
    <row r="13" ht="15.95" customHeight="1">
      <c r="A13" s="3" t="inlineStr">
        <is>
          <t>NHS</t>
        </is>
      </c>
      <c r="B13" s="24" t="n">
        <v>917</v>
      </c>
      <c r="C13" s="21" t="n">
        <v>8.1136</v>
      </c>
      <c r="D13" s="21" t="n">
        <v>7.52</v>
      </c>
      <c r="E13" s="1" t="n">
        <v>-82.53</v>
      </c>
      <c r="F13" s="1" t="n">
        <v>-0.09</v>
      </c>
      <c r="G13" s="2" t="n">
        <v>-0.0115</v>
      </c>
      <c r="H13" s="9">
        <f>B13*D13</f>
        <v/>
      </c>
      <c r="I13" s="16">
        <f>B13*C13</f>
        <v/>
      </c>
      <c r="J13" s="9">
        <f>H13-I13</f>
        <v/>
      </c>
      <c r="K13" s="102" t="n">
        <v>45989.4428125</v>
      </c>
      <c r="L13" t="inlineStr">
        <is>
          <t>Monthly</t>
        </is>
      </c>
      <c r="M13" s="8">
        <f>((D13*Q13)/100)/12</f>
        <v/>
      </c>
      <c r="N13" s="8">
        <f>((B13*D13)*(P13/100)/12)</f>
        <v/>
      </c>
      <c r="O13" s="8">
        <f>(($B13*$D13)*(Q13/100)/12)</f>
        <v/>
      </c>
      <c r="P13" s="22" t="n">
        <v>13.92</v>
      </c>
      <c r="Q13" s="104" t="n">
        <v>14.48</v>
      </c>
      <c r="R13" s="104" t="n">
        <v>14.86</v>
      </c>
      <c r="S13" s="100" t="n">
        <v>15.04</v>
      </c>
      <c r="T13" s="98" t="n">
        <v>14.4</v>
      </c>
      <c r="U13" s="98" t="n">
        <v>14.56</v>
      </c>
      <c r="V13" s="89" t="n">
        <v>14.33</v>
      </c>
      <c r="W13" s="87" t="n">
        <v>14.16</v>
      </c>
      <c r="X13" s="87" t="n">
        <v>14.27</v>
      </c>
      <c r="Y13" s="81" t="n">
        <v>14.53</v>
      </c>
      <c r="Z13" s="78" t="n">
        <v>14.42</v>
      </c>
      <c r="AA13" s="78" t="n">
        <v>14.75</v>
      </c>
      <c r="AB13" s="76" t="n">
        <v>14.77</v>
      </c>
      <c r="AC13" s="74" t="n">
        <v>14.63</v>
      </c>
      <c r="AD13" s="70" t="n">
        <v>14.67</v>
      </c>
      <c r="AE13" s="67" t="n">
        <v>14.7</v>
      </c>
      <c r="AF13" s="64" t="n">
        <v>14.64</v>
      </c>
      <c r="AG13" s="62" t="n">
        <v>14.38</v>
      </c>
      <c r="AH13" s="57" t="n">
        <v>14.31</v>
      </c>
      <c r="AI13" s="55" t="n">
        <v>14.5</v>
      </c>
      <c r="AJ13" s="53" t="n">
        <v>14.37</v>
      </c>
      <c r="AK13" s="51" t="n">
        <v>14.2</v>
      </c>
      <c r="AL13" s="49" t="n">
        <v>14.38</v>
      </c>
      <c r="AM13" s="47" t="n">
        <v>14.37</v>
      </c>
      <c r="AN13" s="45" t="n">
        <v>14.78</v>
      </c>
      <c r="AO13" s="43" t="n">
        <v>14.38</v>
      </c>
      <c r="AP13" s="41" t="n">
        <v>14.14</v>
      </c>
      <c r="AQ13" s="38" t="n">
        <v>14.5</v>
      </c>
      <c r="AR13" s="36" t="n">
        <v>14.62</v>
      </c>
      <c r="AS13" s="34" t="n">
        <v>15.34</v>
      </c>
      <c r="AT13" s="30" t="n">
        <v>14.27</v>
      </c>
      <c r="AU13" s="25" t="n">
        <v>14.2</v>
      </c>
      <c r="AV13" s="19" t="n">
        <v>14.12</v>
      </c>
      <c r="AW13" s="15" t="n">
        <v>14.12</v>
      </c>
      <c r="AX13" s="10" t="inlineStr">
        <is>
          <t>Etrade</t>
        </is>
      </c>
    </row>
    <row r="14" ht="15.95" customHeight="1">
      <c r="A14" s="3" t="inlineStr">
        <is>
          <t>OFS</t>
        </is>
      </c>
      <c r="B14" s="24" t="n">
        <v>1385</v>
      </c>
      <c r="C14" s="21" t="n">
        <v>9.5274</v>
      </c>
      <c r="D14" s="21" t="n">
        <v>5.97</v>
      </c>
      <c r="E14" s="1" t="n">
        <v>-41.55</v>
      </c>
      <c r="F14" s="1" t="n">
        <v>-0.03</v>
      </c>
      <c r="G14" s="2" t="n">
        <v>-0.0037</v>
      </c>
      <c r="H14" s="9">
        <f>B14*D14</f>
        <v/>
      </c>
      <c r="I14" s="16">
        <f>B14*C14</f>
        <v/>
      </c>
      <c r="J14" s="9">
        <f>H14-I14</f>
        <v/>
      </c>
      <c r="K14" s="102" t="n">
        <v>46022.44282407407</v>
      </c>
      <c r="L14" t="inlineStr">
        <is>
          <t>Quarterly</t>
        </is>
      </c>
      <c r="M14" s="8">
        <f>((D14*Q14)/100)/12</f>
        <v/>
      </c>
      <c r="N14" s="8">
        <f>((B14*D14)*(P14/100)/12)</f>
        <v/>
      </c>
      <c r="O14" s="8">
        <f>(($B14*$D14)*(Q14/100)/12)</f>
        <v/>
      </c>
      <c r="P14" s="22" t="n">
        <v>16.04</v>
      </c>
      <c r="Q14" s="103" t="n">
        <v>9.74</v>
      </c>
      <c r="R14" s="104" t="n">
        <v>19.35</v>
      </c>
      <c r="S14" s="100" t="n">
        <v>19.6</v>
      </c>
      <c r="T14" s="98" t="n">
        <v>18.73</v>
      </c>
      <c r="U14" s="98" t="n">
        <v>17.64</v>
      </c>
      <c r="V14" s="89" t="n">
        <v>17.23</v>
      </c>
      <c r="W14" s="87" t="n">
        <v>16.33</v>
      </c>
      <c r="X14" s="86" t="n">
        <v>15.6</v>
      </c>
      <c r="Y14" s="80" t="n">
        <v>15.7</v>
      </c>
      <c r="Z14" s="78" t="n">
        <v>16.28</v>
      </c>
      <c r="AA14" s="78" t="n">
        <v>16.35</v>
      </c>
      <c r="AB14" s="76" t="n">
        <v>16.43</v>
      </c>
      <c r="AC14" s="74" t="n">
        <v>16.45</v>
      </c>
      <c r="AD14" s="71" t="n">
        <v>16.04</v>
      </c>
      <c r="AE14" s="68" t="n">
        <v>16.04</v>
      </c>
      <c r="AF14" s="63" t="n">
        <v>15.96</v>
      </c>
      <c r="AG14" s="62" t="n">
        <v>16.08</v>
      </c>
      <c r="AH14" s="56" t="n">
        <v>15.93</v>
      </c>
      <c r="AI14" s="55" t="n">
        <v>16.08</v>
      </c>
      <c r="AJ14" s="52" t="n">
        <v>15.53</v>
      </c>
      <c r="AK14" s="50" t="n">
        <v>15.23</v>
      </c>
      <c r="AL14" s="49" t="n">
        <v>16.19</v>
      </c>
      <c r="AM14" s="47" t="n">
        <v>16.22</v>
      </c>
      <c r="AN14" s="45" t="n">
        <v>16.41</v>
      </c>
      <c r="AO14" s="42" t="n">
        <v>15.91</v>
      </c>
      <c r="AP14" s="40" t="n">
        <v>15.49</v>
      </c>
      <c r="AQ14" s="39" t="n">
        <v>15.93</v>
      </c>
      <c r="AR14" s="36" t="n">
        <v>16.69</v>
      </c>
      <c r="AS14" s="34" t="n">
        <v>16.35</v>
      </c>
      <c r="AT14" s="31" t="n">
        <v>14.99</v>
      </c>
      <c r="AU14" s="26" t="n">
        <v>15.13</v>
      </c>
      <c r="AV14" s="18" t="n">
        <v>14.82</v>
      </c>
      <c r="AW14" s="14" t="n">
        <v>14.62</v>
      </c>
      <c r="AX14" s="10" t="inlineStr">
        <is>
          <t>Etrade</t>
        </is>
      </c>
    </row>
    <row r="15" ht="15.95" customHeight="1">
      <c r="A15" s="3" t="inlineStr">
        <is>
          <t>PDI</t>
        </is>
      </c>
      <c r="B15" s="24" t="n">
        <v>688</v>
      </c>
      <c r="C15" s="21" t="n">
        <v>19.1513</v>
      </c>
      <c r="D15" s="21" t="n">
        <v>18.36</v>
      </c>
      <c r="E15" s="1" t="n">
        <v>6.88</v>
      </c>
      <c r="F15" s="1" t="n">
        <v>0.01</v>
      </c>
      <c r="G15" s="2" t="n">
        <v>0.0005</v>
      </c>
      <c r="H15" s="9">
        <f>B15*D15</f>
        <v/>
      </c>
      <c r="I15" s="16">
        <f>B15*C15</f>
        <v/>
      </c>
      <c r="J15" s="9">
        <f>H15-I15</f>
        <v/>
      </c>
      <c r="K15" s="102" t="n">
        <v>45964.44282407407</v>
      </c>
      <c r="L15" t="inlineStr">
        <is>
          <t>Monthly</t>
        </is>
      </c>
      <c r="M15" s="8">
        <f>((D15*Q15)/100)/12</f>
        <v/>
      </c>
      <c r="N15" s="8">
        <f>((B15*D15)*(P15/100)/12)</f>
        <v/>
      </c>
      <c r="O15" s="8">
        <f>(($B15*$D15)*(Q15/100)/12)</f>
        <v/>
      </c>
      <c r="P15" s="22" t="n">
        <v>16.65</v>
      </c>
      <c r="Q15" s="103" t="n">
        <v>14.55</v>
      </c>
      <c r="R15" s="103" t="n">
        <v>14.21</v>
      </c>
      <c r="S15" s="99" t="n">
        <v>13.71</v>
      </c>
      <c r="T15" s="97" t="n">
        <v>13.29</v>
      </c>
      <c r="U15" s="97" t="n">
        <v>13.34</v>
      </c>
      <c r="V15" s="88" t="n">
        <v>13.41</v>
      </c>
      <c r="W15" s="86" t="n">
        <v>13.39</v>
      </c>
      <c r="X15" s="86" t="n">
        <v>13.39</v>
      </c>
      <c r="Y15" s="80" t="n">
        <v>13.25</v>
      </c>
      <c r="Z15" s="77" t="n">
        <v>13.58</v>
      </c>
      <c r="AA15" s="77" t="n">
        <v>13.7</v>
      </c>
      <c r="AB15" s="75" t="n">
        <v>13.82</v>
      </c>
      <c r="AC15" s="73" t="n">
        <v>13.71</v>
      </c>
      <c r="AD15" s="69" t="n">
        <v>13.78</v>
      </c>
      <c r="AE15" s="66" t="n">
        <v>13.85</v>
      </c>
      <c r="AF15" s="63" t="n">
        <v>13.99</v>
      </c>
      <c r="AG15" s="61" t="n">
        <v>13.93</v>
      </c>
      <c r="AH15" s="56" t="n">
        <v>13.89</v>
      </c>
      <c r="AI15" s="54" t="n">
        <v>14.05</v>
      </c>
      <c r="AJ15" s="52" t="n">
        <v>14.2</v>
      </c>
      <c r="AK15" s="50" t="n">
        <v>14.07</v>
      </c>
      <c r="AL15" s="48" t="n">
        <v>14.03</v>
      </c>
      <c r="AM15" s="46" t="n">
        <v>14.07</v>
      </c>
      <c r="AN15" s="44" t="n">
        <v>14.41</v>
      </c>
      <c r="AO15" s="42" t="n">
        <v>13.98</v>
      </c>
      <c r="AP15" s="40" t="n">
        <v>14.21</v>
      </c>
      <c r="AQ15" s="39" t="n">
        <v>14.44</v>
      </c>
      <c r="AR15" s="37" t="n">
        <v>14.93</v>
      </c>
      <c r="AS15" s="35" t="n">
        <v>14.89</v>
      </c>
      <c r="AT15" s="31" t="n">
        <v>13.42</v>
      </c>
      <c r="AU15" s="25" t="n">
        <v>16.65</v>
      </c>
      <c r="AV15" s="19" t="n">
        <v>16.65</v>
      </c>
      <c r="AW15" s="15" t="n">
        <v>16.65</v>
      </c>
      <c r="AX15" s="10" t="inlineStr">
        <is>
          <t>Etrade</t>
        </is>
      </c>
    </row>
    <row r="16" ht="15.95" customHeight="1">
      <c r="A16" s="3" t="inlineStr">
        <is>
          <t>QDTE</t>
        </is>
      </c>
      <c r="B16" s="24" t="n">
        <v>304</v>
      </c>
      <c r="C16" s="21" t="n">
        <v>38.49</v>
      </c>
      <c r="D16" s="22" t="n">
        <v>36.09</v>
      </c>
      <c r="E16" s="21" t="n">
        <v>17.1</v>
      </c>
      <c r="F16" s="1" t="n">
        <v>-0.02</v>
      </c>
      <c r="G16" s="2" t="n">
        <v>0.0017</v>
      </c>
      <c r="H16" s="9">
        <f>B16*D16</f>
        <v/>
      </c>
      <c r="I16" s="16">
        <f>B16*C16</f>
        <v/>
      </c>
      <c r="J16" s="9">
        <f>H16-I16</f>
        <v/>
      </c>
      <c r="K16" s="102" t="n">
        <v>45961.44282407407</v>
      </c>
      <c r="L16" t="inlineStr">
        <is>
          <t>Weekly</t>
        </is>
      </c>
      <c r="M16" s="8">
        <f>((D16*Q16)/100)/12</f>
        <v/>
      </c>
      <c r="N16" s="8">
        <f>((B16*D16)*(P16/100)/12)</f>
        <v/>
      </c>
      <c r="O16" s="8">
        <f>(($B16*$D16)*(Q16/100)/12)</f>
        <v/>
      </c>
      <c r="P16" s="29" t="n">
        <v>6.92</v>
      </c>
      <c r="Q16" s="103" t="n">
        <v>0</v>
      </c>
      <c r="R16" s="103" t="n">
        <v>6.77</v>
      </c>
      <c r="S16" s="100" t="n">
        <v>7.04</v>
      </c>
      <c r="T16" s="97" t="n">
        <v>6.89</v>
      </c>
      <c r="U16" s="98" t="n">
        <v>6.99</v>
      </c>
      <c r="V16" s="89" t="n">
        <v>6.94</v>
      </c>
      <c r="W16" s="86" t="n">
        <v>6.75</v>
      </c>
      <c r="X16" s="86" t="n">
        <v>6.84</v>
      </c>
      <c r="Y16" s="81" t="n">
        <v>9.880000000000001</v>
      </c>
      <c r="Z16" s="78" t="n">
        <v>6.98</v>
      </c>
      <c r="AA16" s="78" t="n">
        <v>8.199999999999999</v>
      </c>
      <c r="AB16" s="76" t="n">
        <v>7.85</v>
      </c>
      <c r="AC16" s="74" t="n">
        <v>8.140000000000001</v>
      </c>
      <c r="AD16" s="69" t="n">
        <v>8.08</v>
      </c>
      <c r="AE16" s="66" t="n">
        <v>8</v>
      </c>
      <c r="AF16" s="64" t="n">
        <v>32.4</v>
      </c>
      <c r="AG16" s="62" t="n">
        <v>8.08</v>
      </c>
      <c r="AH16" s="57" t="n">
        <v>7.82</v>
      </c>
      <c r="AI16" s="55" t="n">
        <v>8.43</v>
      </c>
      <c r="AJ16" s="53" t="n">
        <v>7.18</v>
      </c>
      <c r="AK16" s="50" t="n">
        <v>5.05</v>
      </c>
      <c r="AL16" s="49" t="n">
        <v>7.3</v>
      </c>
      <c r="AM16" s="47" t="n">
        <v>7.54</v>
      </c>
      <c r="AN16" s="44" t="n">
        <v>6.11</v>
      </c>
      <c r="AO16" s="43" t="n">
        <v>11.39</v>
      </c>
      <c r="AP16" s="41" t="n">
        <v>8.17</v>
      </c>
      <c r="AQ16" s="38" t="n">
        <v>9.17</v>
      </c>
      <c r="AR16" s="36" t="n">
        <v>8.300000000000001</v>
      </c>
      <c r="AS16" s="34" t="n">
        <v>7.08</v>
      </c>
      <c r="AT16" s="30" t="n">
        <v>9.130000000000001</v>
      </c>
      <c r="AU16" s="17" t="n">
        <v>7.92</v>
      </c>
      <c r="AV16" s="17" t="n">
        <v>9.289999999999999</v>
      </c>
      <c r="AW16" s="17" t="n">
        <v>8.039999999999999</v>
      </c>
      <c r="AX16" s="10" t="inlineStr">
        <is>
          <t>Etrade</t>
        </is>
      </c>
    </row>
    <row r="17" ht="15.95" customHeight="1">
      <c r="A17" s="3" t="inlineStr">
        <is>
          <t>QQQI</t>
        </is>
      </c>
      <c r="B17" s="24" t="n">
        <v>110</v>
      </c>
      <c r="C17" s="21" t="n">
        <v>52.6</v>
      </c>
      <c r="D17" s="21" t="n">
        <v>55.52</v>
      </c>
      <c r="E17" s="1" t="n">
        <v>-72.23999999999999</v>
      </c>
      <c r="F17" s="1" t="n">
        <v>1.04</v>
      </c>
      <c r="G17" s="2" t="n">
        <v>-0.0107</v>
      </c>
      <c r="H17" s="9">
        <f>B17*D17</f>
        <v/>
      </c>
      <c r="I17" s="16">
        <f>B17*C17</f>
        <v/>
      </c>
      <c r="J17" s="9">
        <f>H17-I17</f>
        <v/>
      </c>
      <c r="K17" s="102" t="n">
        <v>45954.44282407407</v>
      </c>
      <c r="L17" t="inlineStr">
        <is>
          <t>Monthly</t>
        </is>
      </c>
      <c r="M17" s="8" t="n">
        <v>0.61</v>
      </c>
      <c r="N17" s="8">
        <f>((B17*D17)*(P17/100)/12)</f>
        <v/>
      </c>
      <c r="O17" s="85">
        <f>(($B17*$D17)*(Q17/100)/12)</f>
        <v/>
      </c>
      <c r="P17" s="22" t="n">
        <v>13.7</v>
      </c>
      <c r="Q17" s="103" t="n">
        <v>13.38</v>
      </c>
      <c r="R17" s="103" t="n">
        <v>13.6</v>
      </c>
      <c r="S17" s="99" t="n">
        <v>13.62</v>
      </c>
      <c r="T17" s="97" t="n">
        <v>13.42</v>
      </c>
      <c r="U17" s="97" t="n">
        <v>13.51</v>
      </c>
      <c r="V17" s="89" t="n">
        <v>13.71</v>
      </c>
      <c r="W17" s="86" t="n">
        <v>13.47</v>
      </c>
      <c r="X17" s="86" t="n">
        <v>13.64</v>
      </c>
      <c r="Y17" s="82" t="n">
        <v>13.7</v>
      </c>
      <c r="Z17" s="83" t="n"/>
      <c r="AA17" s="84" t="n"/>
      <c r="AB17" s="83" t="n"/>
      <c r="AC17" s="83" t="n"/>
      <c r="AD17" s="84" t="n"/>
      <c r="AE17" s="84" t="n"/>
      <c r="AF17" s="84" t="n"/>
      <c r="AG17" s="84" t="n"/>
      <c r="AH17" s="84" t="n"/>
      <c r="AI17" s="84" t="n"/>
      <c r="AJ17" s="84" t="n"/>
      <c r="AK17" s="84" t="n"/>
      <c r="AL17" s="84" t="n"/>
      <c r="AM17" s="84" t="n"/>
      <c r="AN17" s="84" t="n"/>
      <c r="AO17" s="84" t="n"/>
      <c r="AP17" s="84" t="n"/>
      <c r="AQ17" s="84" t="n"/>
      <c r="AR17" s="84" t="n"/>
      <c r="AS17" s="84" t="n"/>
      <c r="AT17" s="84" t="n"/>
      <c r="AU17" s="84" t="n"/>
      <c r="AV17" s="84" t="n"/>
      <c r="AW17" s="84" t="n"/>
      <c r="AX17" s="10" t="inlineStr">
        <is>
          <t>Etrade</t>
        </is>
      </c>
    </row>
    <row r="18" ht="15.95" customHeight="1">
      <c r="A18" s="3" t="inlineStr">
        <is>
          <t>RYLD</t>
        </is>
      </c>
      <c r="B18" s="24" t="n">
        <v>579</v>
      </c>
      <c r="C18" s="21" t="n">
        <v>16.5407</v>
      </c>
      <c r="D18" s="21" t="n">
        <v>15.41</v>
      </c>
      <c r="E18" s="1" t="n">
        <v>-28.95</v>
      </c>
      <c r="F18" s="1" t="n">
        <v>-0.05</v>
      </c>
      <c r="G18" s="2" t="n">
        <v>-0.003</v>
      </c>
      <c r="H18" s="9">
        <f>B18*D18</f>
        <v/>
      </c>
      <c r="I18" s="16">
        <f>B18*C18</f>
        <v/>
      </c>
      <c r="J18" s="9">
        <f>H18-I18</f>
        <v/>
      </c>
      <c r="K18" s="102" t="n">
        <v>45957.44282407407</v>
      </c>
      <c r="L18" t="inlineStr">
        <is>
          <t>Monthly</t>
        </is>
      </c>
      <c r="M18" s="8">
        <f>((D18*Q18)/100)/12</f>
        <v/>
      </c>
      <c r="N18" s="8">
        <f>((B18*D18)*(P18/100)/12)</f>
        <v/>
      </c>
      <c r="O18" s="8">
        <f>(($B18*$D18)*(Q18/100)/12)</f>
        <v/>
      </c>
      <c r="P18" s="22" t="n">
        <v>11.87</v>
      </c>
      <c r="Q18" s="104" t="n">
        <v>12.11</v>
      </c>
      <c r="R18" s="104" t="n">
        <v>12.12</v>
      </c>
      <c r="S18" s="100" t="n">
        <v>12.22</v>
      </c>
      <c r="T18" s="98" t="n">
        <v>12.29</v>
      </c>
      <c r="U18" s="98" t="n">
        <v>12.37</v>
      </c>
      <c r="V18" s="89" t="n">
        <v>12.58</v>
      </c>
      <c r="W18" s="87" t="n">
        <v>12.32</v>
      </c>
      <c r="X18" s="87" t="n">
        <v>12.35</v>
      </c>
      <c r="Y18" s="81" t="n">
        <v>12.43</v>
      </c>
      <c r="Z18" s="78" t="n">
        <v>12.47</v>
      </c>
      <c r="AA18" s="78" t="n">
        <v>12.5</v>
      </c>
      <c r="AB18" s="76" t="n">
        <v>12.52</v>
      </c>
      <c r="AC18" s="74" t="n">
        <v>12.83</v>
      </c>
      <c r="AD18" s="70" t="n">
        <v>12.89</v>
      </c>
      <c r="AE18" s="67" t="n">
        <v>12.77</v>
      </c>
      <c r="AF18" s="64" t="n">
        <v>12.66</v>
      </c>
      <c r="AG18" s="62" t="n">
        <v>12.67</v>
      </c>
      <c r="AH18" s="57" t="n">
        <v>12.74</v>
      </c>
      <c r="AI18" s="55" t="n">
        <v>12.81</v>
      </c>
      <c r="AJ18" s="53" t="n">
        <v>12.89</v>
      </c>
      <c r="AK18" s="51" t="n">
        <v>12.92</v>
      </c>
      <c r="AL18" s="49" t="n">
        <v>13.1</v>
      </c>
      <c r="AM18" s="47" t="n">
        <v>13.2</v>
      </c>
      <c r="AN18" s="45" t="n">
        <v>13.39</v>
      </c>
      <c r="AO18" s="43" t="n">
        <v>13.25</v>
      </c>
      <c r="AP18" s="41" t="n">
        <v>13.33</v>
      </c>
      <c r="AQ18" s="38" t="n">
        <v>13.36</v>
      </c>
      <c r="AR18" s="36" t="n">
        <v>13.79</v>
      </c>
      <c r="AS18" s="34" t="n">
        <v>14.02</v>
      </c>
      <c r="AT18" s="30" t="n">
        <v>13.48</v>
      </c>
      <c r="AU18" s="25" t="n">
        <v>12.28</v>
      </c>
      <c r="AV18" s="19" t="n">
        <v>12.28</v>
      </c>
      <c r="AW18" s="15" t="n">
        <v>12.28</v>
      </c>
      <c r="AX18" s="10" t="inlineStr">
        <is>
          <t>Etrade</t>
        </is>
      </c>
    </row>
    <row r="19" ht="15.95" customHeight="1">
      <c r="A19" s="3" t="inlineStr">
        <is>
          <t>SVOL</t>
        </is>
      </c>
      <c r="B19" s="24" t="n">
        <v>552</v>
      </c>
      <c r="C19" s="21" t="n">
        <v>22.3288</v>
      </c>
      <c r="D19" s="21" t="n">
        <v>17.73</v>
      </c>
      <c r="E19" s="1" t="n">
        <v>-143.52</v>
      </c>
      <c r="F19" s="1" t="n">
        <v>-0.26</v>
      </c>
      <c r="G19" s="2" t="n">
        <v>-0.0121</v>
      </c>
      <c r="H19" s="9">
        <f>B19*D19</f>
        <v/>
      </c>
      <c r="I19" s="16">
        <f>B19*C19</f>
        <v/>
      </c>
      <c r="J19" s="9">
        <f>H19-I19</f>
        <v/>
      </c>
      <c r="K19" s="102" t="n">
        <v>45961.44282407407</v>
      </c>
      <c r="L19" t="inlineStr">
        <is>
          <t>Monthly</t>
        </is>
      </c>
      <c r="M19" s="8">
        <f>((D19*Q19)/100)/12</f>
        <v/>
      </c>
      <c r="N19" s="8">
        <f>((B19*D19)*(P19/100)/12)</f>
        <v/>
      </c>
      <c r="O19" s="8">
        <f>(($B19*$D19)*(Q19/100)/12)</f>
        <v/>
      </c>
      <c r="P19" s="22" t="n">
        <v>16.29</v>
      </c>
      <c r="Q19" s="104" t="n">
        <v>19.2</v>
      </c>
      <c r="R19" s="104" t="n">
        <v>19</v>
      </c>
      <c r="S19" s="100" t="n">
        <v>20.06</v>
      </c>
      <c r="T19" s="98" t="n">
        <v>18.75</v>
      </c>
      <c r="U19" s="98" t="n">
        <v>18.76</v>
      </c>
      <c r="V19" s="89" t="n">
        <v>19.08</v>
      </c>
      <c r="W19" s="87" t="n">
        <v>18.39</v>
      </c>
      <c r="X19" s="87" t="n">
        <v>18.69</v>
      </c>
      <c r="Y19" s="81" t="n">
        <v>19.24</v>
      </c>
      <c r="Z19" s="78" t="n">
        <v>19.14</v>
      </c>
      <c r="AA19" s="78" t="n">
        <v>18.99</v>
      </c>
      <c r="AB19" s="76" t="n">
        <v>19.31</v>
      </c>
      <c r="AC19" s="74" t="n">
        <v>19.98</v>
      </c>
      <c r="AD19" s="70" t="n">
        <v>20.01</v>
      </c>
      <c r="AE19" s="67" t="n">
        <v>19.29</v>
      </c>
      <c r="AF19" s="64" t="n">
        <v>19.37</v>
      </c>
      <c r="AG19" s="62" t="n">
        <v>18.52</v>
      </c>
      <c r="AH19" s="57" t="n">
        <v>18.35</v>
      </c>
      <c r="AI19" s="55" t="n">
        <v>19.19</v>
      </c>
      <c r="AJ19" s="53" t="n">
        <v>20</v>
      </c>
      <c r="AK19" s="51" t="n">
        <v>18.94</v>
      </c>
      <c r="AL19" s="49" t="n">
        <v>19.29</v>
      </c>
      <c r="AM19" s="47" t="n">
        <v>19.26</v>
      </c>
      <c r="AN19" s="45" t="n">
        <v>18.56</v>
      </c>
      <c r="AO19" s="43" t="n">
        <v>20.56</v>
      </c>
      <c r="AP19" s="41" t="n">
        <v>20.31</v>
      </c>
      <c r="AQ19" s="38" t="n">
        <v>20.75</v>
      </c>
      <c r="AR19" s="36" t="n">
        <v>21.94</v>
      </c>
      <c r="AS19" s="34" t="n">
        <v>22.22</v>
      </c>
      <c r="AT19" s="30" t="n">
        <v>19.76</v>
      </c>
      <c r="AU19" s="25" t="n">
        <v>16.65</v>
      </c>
      <c r="AV19" s="19" t="n">
        <v>16.65</v>
      </c>
      <c r="AW19" s="15" t="n">
        <v>16.65</v>
      </c>
      <c r="AX19" s="10" t="inlineStr">
        <is>
          <t>Etrade</t>
        </is>
      </c>
    </row>
    <row r="20" ht="15.95" customHeight="1">
      <c r="A20" s="3" t="inlineStr">
        <is>
          <t>DX</t>
        </is>
      </c>
      <c r="B20" s="24" t="n">
        <v>125</v>
      </c>
      <c r="C20" s="21" t="n">
        <v>11.91</v>
      </c>
      <c r="D20" s="21" t="n">
        <v>13.24</v>
      </c>
      <c r="E20" s="21" t="n">
        <v>78.09999999999999</v>
      </c>
      <c r="F20" s="1" t="n">
        <v>-0.02</v>
      </c>
      <c r="G20" s="2" t="n">
        <v>0.0525</v>
      </c>
      <c r="H20" s="9">
        <f>B20*D20</f>
        <v/>
      </c>
      <c r="I20" s="16">
        <f>B20*C20</f>
        <v/>
      </c>
      <c r="J20" s="9">
        <f>H20-I20</f>
        <v/>
      </c>
      <c r="K20" s="102" t="n">
        <v>45964.44282407407</v>
      </c>
      <c r="L20" t="inlineStr">
        <is>
          <t>Monthly</t>
        </is>
      </c>
      <c r="M20" s="8" t="n">
        <v>0.17</v>
      </c>
      <c r="N20" s="8">
        <f>((B20*D20)*(P20/100)/12)</f>
        <v/>
      </c>
      <c r="O20" s="8">
        <f>(($B20*$D20)*(Q20/100)/12)</f>
        <v/>
      </c>
      <c r="P20" s="22" t="n">
        <v>15.89</v>
      </c>
      <c r="Q20" s="103" t="n">
        <v>15.55</v>
      </c>
      <c r="R20" s="103" t="n">
        <v>15.42</v>
      </c>
      <c r="S20" s="99" t="n">
        <v>15.45</v>
      </c>
      <c r="T20" s="97" t="n">
        <v>15.74</v>
      </c>
      <c r="U20" s="98" t="n">
        <v>16.11</v>
      </c>
      <c r="V20" s="89" t="n">
        <v>16.94</v>
      </c>
      <c r="W20" s="87" t="n">
        <v>16.49</v>
      </c>
      <c r="X20" s="87" t="n">
        <v>16.24</v>
      </c>
      <c r="Y20" s="81" t="n">
        <v>15.97</v>
      </c>
      <c r="Z20" s="78" t="n">
        <v>16.33</v>
      </c>
      <c r="AA20" s="78" t="n">
        <v>16.37</v>
      </c>
      <c r="AB20" s="76" t="n">
        <v>16.23</v>
      </c>
      <c r="AC20" s="74" t="n">
        <v>16.55</v>
      </c>
      <c r="AD20" s="70" t="n">
        <v>16.4</v>
      </c>
      <c r="AE20" s="67" t="n">
        <v>16</v>
      </c>
      <c r="AF20" s="64" t="n">
        <v>16.22</v>
      </c>
      <c r="AG20" s="22" t="n">
        <v>15.89</v>
      </c>
      <c r="AH20" s="22" t="n">
        <v>15.89</v>
      </c>
      <c r="AI20" s="22" t="n">
        <v>15.89</v>
      </c>
      <c r="AJ20" s="22" t="n">
        <v>15.89</v>
      </c>
      <c r="AK20" s="22" t="n">
        <v>15.89</v>
      </c>
      <c r="AL20" s="22" t="n">
        <v>15.89</v>
      </c>
      <c r="AM20" s="22" t="n">
        <v>15.89</v>
      </c>
      <c r="AN20" s="22" t="n">
        <v>15.89</v>
      </c>
      <c r="AO20" s="22" t="n">
        <v>15.89</v>
      </c>
      <c r="AP20" s="22" t="n">
        <v>15.89</v>
      </c>
      <c r="AQ20" s="22" t="n">
        <v>15.89</v>
      </c>
      <c r="AR20" s="22" t="n">
        <v>15.89</v>
      </c>
      <c r="AS20" s="22" t="n">
        <v>15.89</v>
      </c>
      <c r="AT20" s="22" t="n">
        <v>15.89</v>
      </c>
      <c r="AU20" s="22" t="n">
        <v>15.89</v>
      </c>
      <c r="AV20" s="22" t="n">
        <v>15.89</v>
      </c>
      <c r="AW20" s="22" t="n">
        <v>15.89</v>
      </c>
      <c r="AX20" s="10" t="inlineStr">
        <is>
          <t>Schwab individual</t>
        </is>
      </c>
    </row>
    <row r="21" ht="15.75" customHeight="1">
      <c r="A21" s="3" t="inlineStr">
        <is>
          <t>AGNC</t>
        </is>
      </c>
      <c r="B21" s="24" t="n">
        <v>1060</v>
      </c>
      <c r="C21" s="21" t="n">
        <v>9.42</v>
      </c>
      <c r="D21" s="22" t="n">
        <v>10</v>
      </c>
      <c r="E21" s="21" t="n">
        <v>-180.2</v>
      </c>
      <c r="F21" s="1" t="n">
        <v>-0.02</v>
      </c>
      <c r="G21" s="2" t="n">
        <v>-0.018</v>
      </c>
      <c r="H21" s="9">
        <f>B21*D21</f>
        <v/>
      </c>
      <c r="I21" s="16">
        <f>B21*C21</f>
        <v/>
      </c>
      <c r="J21" s="9">
        <f>H21-I21</f>
        <v/>
      </c>
      <c r="K21" s="102" t="n">
        <v>45973.44283564815</v>
      </c>
      <c r="L21" t="inlineStr">
        <is>
          <t>Monthly</t>
        </is>
      </c>
      <c r="M21" s="59" t="n">
        <v>0.12</v>
      </c>
      <c r="N21" s="8">
        <f>((B21*D21)*(P21/100)/12)</f>
        <v/>
      </c>
      <c r="O21" s="8">
        <f>(($B21*$D21)*(Q21/100)/12)</f>
        <v/>
      </c>
      <c r="P21" s="60" t="n">
        <v>15.38</v>
      </c>
      <c r="Q21" s="103" t="n">
        <v>14.57</v>
      </c>
      <c r="R21" s="103" t="n">
        <v>14.27</v>
      </c>
      <c r="S21" s="99" t="n">
        <v>14.52</v>
      </c>
      <c r="T21" s="97" t="n">
        <v>14.4</v>
      </c>
      <c r="U21" s="97" t="n">
        <v>14.39</v>
      </c>
      <c r="V21" s="88" t="n">
        <v>14.75</v>
      </c>
      <c r="W21" s="86" t="n">
        <v>14.26</v>
      </c>
      <c r="X21" s="86" t="n">
        <v>14.08</v>
      </c>
      <c r="Y21" s="80" t="n">
        <v>14.12</v>
      </c>
      <c r="Z21" s="77" t="n">
        <v>14.89</v>
      </c>
      <c r="AA21" s="77" t="n">
        <v>14.57</v>
      </c>
      <c r="AB21" s="75" t="n">
        <v>14.98</v>
      </c>
      <c r="AC21" s="73" t="n">
        <v>15.3</v>
      </c>
      <c r="AD21" s="69" t="n">
        <v>15.27</v>
      </c>
      <c r="AE21" s="66" t="n">
        <v>14.83</v>
      </c>
      <c r="AF21" s="64" t="n">
        <v>15.52</v>
      </c>
      <c r="AG21" s="61" t="n">
        <v>15.24</v>
      </c>
      <c r="AH21" s="60" t="n">
        <v>15.38</v>
      </c>
      <c r="AI21" s="60" t="n">
        <v>15.38</v>
      </c>
      <c r="AJ21" s="60" t="n">
        <v>15.38</v>
      </c>
      <c r="AK21" s="60" t="n">
        <v>15.38</v>
      </c>
      <c r="AL21" s="60" t="n">
        <v>15.38</v>
      </c>
      <c r="AM21" s="60" t="n">
        <v>15.38</v>
      </c>
      <c r="AN21" s="60" t="n">
        <v>15.38</v>
      </c>
      <c r="AO21" s="60" t="n">
        <v>15.38</v>
      </c>
      <c r="AP21" s="60" t="n">
        <v>15.38</v>
      </c>
      <c r="AQ21" s="60" t="n">
        <v>15.38</v>
      </c>
      <c r="AR21" s="60" t="n">
        <v>15.38</v>
      </c>
      <c r="AS21" s="60" t="n">
        <v>15.38</v>
      </c>
      <c r="AT21" s="60" t="n">
        <v>15.38</v>
      </c>
      <c r="AU21" s="60" t="n">
        <v>15.38</v>
      </c>
      <c r="AV21" s="60" t="n">
        <v>15.38</v>
      </c>
      <c r="AW21" s="60" t="n">
        <v>15.38</v>
      </c>
      <c r="AX21" t="inlineStr">
        <is>
          <t>Schwab</t>
        </is>
      </c>
    </row>
    <row r="22" ht="15.75" customHeight="1">
      <c r="A22" s="3" t="inlineStr">
        <is>
          <t>QDTE</t>
        </is>
      </c>
      <c r="B22" s="24" t="n">
        <v>285</v>
      </c>
      <c r="C22" s="21" t="n">
        <v>35.3</v>
      </c>
      <c r="D22" s="22" t="n">
        <v>36.09</v>
      </c>
      <c r="E22" s="21" t="n">
        <v>17.1</v>
      </c>
      <c r="F22" s="1" t="n">
        <v>-0.02</v>
      </c>
      <c r="G22" s="2" t="n">
        <v>0.0017</v>
      </c>
      <c r="H22" s="9">
        <f>B22*D22</f>
        <v/>
      </c>
      <c r="I22" s="16">
        <f>B22*C22</f>
        <v/>
      </c>
      <c r="J22" s="9">
        <f>H22-I22</f>
        <v/>
      </c>
      <c r="K22" s="105" t="n">
        <v>45961.44283564815</v>
      </c>
      <c r="L22" t="inlineStr">
        <is>
          <t>Weekly</t>
        </is>
      </c>
      <c r="M22" t="n">
        <v>0.24</v>
      </c>
      <c r="N22" s="8">
        <f>((B22*D22)*(P22/100)/12)</f>
        <v/>
      </c>
      <c r="O22" s="8">
        <f>(($B22*$D22)*(Q22/100)/12)</f>
        <v/>
      </c>
      <c r="P22" s="13" t="n">
        <v>8.08</v>
      </c>
      <c r="Q22" s="103" t="n">
        <v>0</v>
      </c>
      <c r="R22" s="103" t="n">
        <v>6.77</v>
      </c>
      <c r="S22" s="99" t="n">
        <v>7.04</v>
      </c>
      <c r="T22" s="97" t="n">
        <v>6.89</v>
      </c>
      <c r="U22" s="97" t="n">
        <v>6.99</v>
      </c>
      <c r="V22" s="88" t="n">
        <v>6.94</v>
      </c>
      <c r="W22" s="86" t="n">
        <v>6.75</v>
      </c>
      <c r="X22" s="86" t="n">
        <v>6.84</v>
      </c>
      <c r="Y22" s="81" t="n">
        <v>9.880000000000001</v>
      </c>
      <c r="Z22" s="77" t="n">
        <v>6.98</v>
      </c>
      <c r="AA22" s="78" t="n">
        <v>8.199999999999999</v>
      </c>
      <c r="AB22" s="75" t="n">
        <v>7.85</v>
      </c>
      <c r="AC22" s="74" t="n">
        <v>8.140000000000001</v>
      </c>
      <c r="AD22" s="69" t="n">
        <v>8.08</v>
      </c>
      <c r="AE22" s="66" t="n">
        <v>8</v>
      </c>
      <c r="AF22" s="64" t="n">
        <v>32.4</v>
      </c>
      <c r="AG22" s="13" t="n">
        <v>8.08</v>
      </c>
      <c r="AH22" s="13" t="n">
        <v>8.08</v>
      </c>
      <c r="AI22" s="13" t="n">
        <v>8.08</v>
      </c>
      <c r="AJ22" s="13" t="n">
        <v>8.08</v>
      </c>
      <c r="AK22" s="13" t="n">
        <v>8.08</v>
      </c>
      <c r="AL22" s="13" t="n">
        <v>8.08</v>
      </c>
      <c r="AM22" s="13" t="n">
        <v>8.08</v>
      </c>
      <c r="AN22" s="13" t="n">
        <v>8.08</v>
      </c>
      <c r="AO22" s="13" t="n">
        <v>8.08</v>
      </c>
      <c r="AP22" s="13" t="n">
        <v>8.08</v>
      </c>
      <c r="AQ22" s="13" t="n">
        <v>8.08</v>
      </c>
      <c r="AR22" s="13" t="n">
        <v>8.08</v>
      </c>
      <c r="AS22" s="13" t="n">
        <v>8.08</v>
      </c>
      <c r="AT22" s="13" t="n">
        <v>8.08</v>
      </c>
      <c r="AU22" s="13" t="n">
        <v>8.08</v>
      </c>
      <c r="AV22" s="13" t="n">
        <v>8.08</v>
      </c>
      <c r="AW22" s="13" t="n">
        <v>8.08</v>
      </c>
      <c r="AX22" t="inlineStr">
        <is>
          <t>Schwab</t>
        </is>
      </c>
    </row>
    <row r="23" ht="15.75" customHeight="1">
      <c r="A23" s="3" t="inlineStr">
        <is>
          <t>ECC</t>
        </is>
      </c>
      <c r="B23" s="24" t="n">
        <v>1330</v>
      </c>
      <c r="C23" s="21" t="n">
        <v>7.43</v>
      </c>
      <c r="D23" s="22" t="n">
        <v>6.21</v>
      </c>
      <c r="E23" t="n">
        <v>33.25</v>
      </c>
      <c r="F23" s="1" t="n">
        <v>0.02</v>
      </c>
      <c r="G23" s="2" t="n">
        <v>0.0068</v>
      </c>
      <c r="H23" s="9">
        <f>B23*D23</f>
        <v/>
      </c>
      <c r="I23" s="16">
        <f>B23*C23</f>
        <v/>
      </c>
      <c r="J23" s="9">
        <f>H23-I23</f>
        <v/>
      </c>
      <c r="K23" s="105" t="n">
        <v>45989.44283564815</v>
      </c>
      <c r="L23" t="inlineStr">
        <is>
          <t>Monthly</t>
        </is>
      </c>
      <c r="M23" t="n">
        <v>0.14</v>
      </c>
      <c r="N23" s="8">
        <f>((B23*D23)*(P23/100)/12)</f>
        <v/>
      </c>
      <c r="O23" s="8">
        <f>(($B23*$D23)*(Q23/100)/12)</f>
        <v/>
      </c>
      <c r="P23" s="13" t="n">
        <v>21.93</v>
      </c>
      <c r="Q23" s="104" t="n">
        <v>27.91</v>
      </c>
      <c r="R23" s="104" t="n">
        <v>27.5</v>
      </c>
      <c r="S23" s="100" t="n">
        <v>27.63</v>
      </c>
      <c r="T23" s="98" t="n">
        <v>24.93</v>
      </c>
      <c r="U23" s="98" t="n">
        <v>24.38</v>
      </c>
      <c r="V23" s="89" t="n">
        <v>25.49</v>
      </c>
      <c r="W23" s="87" t="n">
        <v>24</v>
      </c>
      <c r="X23" s="87" t="n">
        <v>23.83</v>
      </c>
      <c r="Y23" s="80" t="n">
        <v>21.82</v>
      </c>
      <c r="Z23" s="78" t="n">
        <v>22.89</v>
      </c>
      <c r="AA23" s="78" t="n">
        <v>23.86</v>
      </c>
      <c r="AB23" s="76" t="n">
        <v>25.23</v>
      </c>
      <c r="AC23" s="74" t="n">
        <v>26.21</v>
      </c>
      <c r="AD23" s="70" t="n">
        <v>24.42</v>
      </c>
      <c r="AE23" s="67" t="n">
        <v>24.31</v>
      </c>
      <c r="AF23" s="64" t="n">
        <v>22.67</v>
      </c>
      <c r="AG23" s="13" t="n">
        <v>21.93</v>
      </c>
      <c r="AH23" s="13" t="n">
        <v>21.93</v>
      </c>
      <c r="AI23" s="13" t="n">
        <v>21.93</v>
      </c>
      <c r="AJ23" s="13" t="n">
        <v>21.93</v>
      </c>
      <c r="AK23" s="13" t="n">
        <v>21.93</v>
      </c>
      <c r="AL23" s="13" t="n">
        <v>21.93</v>
      </c>
      <c r="AM23" s="13" t="n">
        <v>21.93</v>
      </c>
      <c r="AN23" s="13" t="n">
        <v>21.93</v>
      </c>
      <c r="AO23" s="13" t="n">
        <v>21.93</v>
      </c>
      <c r="AP23" s="13" t="n">
        <v>21.93</v>
      </c>
      <c r="AQ23" s="13" t="n">
        <v>21.93</v>
      </c>
      <c r="AR23" s="13" t="n">
        <v>21.93</v>
      </c>
      <c r="AS23" s="13" t="n">
        <v>21.93</v>
      </c>
      <c r="AT23" s="13" t="n">
        <v>21.93</v>
      </c>
      <c r="AU23" s="13" t="n">
        <v>21.93</v>
      </c>
      <c r="AV23" s="13" t="n">
        <v>21.93</v>
      </c>
      <c r="AW23" s="13" t="n">
        <v>21.93</v>
      </c>
      <c r="AX23" t="inlineStr">
        <is>
          <t>Schwab</t>
        </is>
      </c>
    </row>
    <row r="24"/>
    <row r="25">
      <c r="M25" s="33">
        <f>AVERAGE(M2:M23)</f>
        <v/>
      </c>
      <c r="N25" s="33">
        <f>SUM(N2:N23)</f>
        <v/>
      </c>
      <c r="O25" s="33">
        <f>SUM(O2:O23)</f>
        <v/>
      </c>
      <c r="P25" s="79">
        <f>AVERAGE(P2:P24)/100</f>
        <v/>
      </c>
      <c r="S25" s="79">
        <f>AVERAGE(Q2:Q24)/100</f>
        <v/>
      </c>
      <c r="T25" s="101">
        <f>AVERAGE(R2:R24)/100</f>
        <v/>
      </c>
      <c r="U25" s="101">
        <f>AVERAGE(S2:S24)/100</f>
        <v/>
      </c>
      <c r="V25" s="101">
        <f>AVERAGE(T2:T24)/100</f>
        <v/>
      </c>
      <c r="W25" s="101">
        <f>AVERAGE(U2:U24)/100</f>
        <v/>
      </c>
      <c r="X25" s="101">
        <f>AVERAGE(V2:V24)/100</f>
        <v/>
      </c>
      <c r="Y25" s="101">
        <f>AVERAGE(W2:W24)/100</f>
        <v/>
      </c>
      <c r="Z25" s="101">
        <f>AVERAGE(X2:X24)/100</f>
        <v/>
      </c>
      <c r="AA25" s="101">
        <f>AVERAGE(Y2:Y24)/100</f>
        <v/>
      </c>
      <c r="AB25" s="101">
        <f>AVERAGE(Z2:Z24)/100</f>
        <v/>
      </c>
      <c r="AC25" s="101">
        <f>AVERAGE(AA2:AA24)/100</f>
        <v/>
      </c>
      <c r="AD25" s="101">
        <f>AVERAGE(AB2:AB24)/100</f>
        <v/>
      </c>
      <c r="AE25" s="101">
        <f>AVERAGE(AC2:AC24)/100</f>
        <v/>
      </c>
      <c r="AF25" s="101">
        <f>AVERAGE(AD2:AD24)/100</f>
        <v/>
      </c>
      <c r="AG25" s="101">
        <f>AVERAGE(AE2:AE24)/100</f>
        <v/>
      </c>
      <c r="AH25" s="101">
        <f>AVERAGE(AF2:AF24)/100</f>
        <v/>
      </c>
      <c r="AI25" s="101">
        <f>AVERAGE(AG2:AG24)/100</f>
        <v/>
      </c>
      <c r="AJ25" s="101">
        <f>AVERAGE(AH2:AH24)/100</f>
        <v/>
      </c>
      <c r="AK25" s="101">
        <f>AVERAGE(AI2:AI24)/100</f>
        <v/>
      </c>
      <c r="AL25" s="101">
        <f>AVERAGE(AJ2:AJ24)/100</f>
        <v/>
      </c>
      <c r="AM25" s="101">
        <f>AVERAGE(AK2:AK24)/100</f>
        <v/>
      </c>
      <c r="AN25" s="101">
        <f>AVERAGE(AL2:AL24)/100</f>
        <v/>
      </c>
      <c r="AO25" s="101">
        <f>AVERAGE(AM2:AM24)/100</f>
        <v/>
      </c>
      <c r="AP25" s="101">
        <f>AVERAGE(AN2:AN24)/100</f>
        <v/>
      </c>
      <c r="AQ25" s="101">
        <f>AVERAGE(AO2:AO24)/100</f>
        <v/>
      </c>
      <c r="AR25" s="101">
        <f>AVERAGE(AP2:AP24)/100</f>
        <v/>
      </c>
      <c r="AS25" s="101">
        <f>AVERAGE(AQ2:AQ24)/100</f>
        <v/>
      </c>
      <c r="AT25" s="101">
        <f>AVERAGE(AR2:AR24)/100</f>
        <v/>
      </c>
      <c r="AU25" s="101">
        <f>AVERAGE(AS2:AS24)/100</f>
        <v/>
      </c>
      <c r="AV25" s="101">
        <f>AVERAGE(AT2:AT24)/100</f>
        <v/>
      </c>
      <c r="AW25" s="101">
        <f>AVERAGE(AU2:AU24)/100</f>
        <v/>
      </c>
    </row>
  </sheetData>
  <conditionalFormatting sqref="H2:H23">
    <cfRule type="expression" priority="17" dxfId="1">
      <formula>$H2 &lt; $I2</formula>
    </cfRule>
    <cfRule type="expression" priority="18" dxfId="8">
      <formula>$H2 &gt; $I2</formula>
    </cfRule>
  </conditionalFormatting>
  <conditionalFormatting sqref="J2:J23">
    <cfRule type="expression" priority="13" dxfId="7">
      <formula>$J2 &gt; 0</formula>
    </cfRule>
    <cfRule type="expression" priority="14" dxfId="1">
      <formula>$J2 &lt; 0</formula>
    </cfRule>
  </conditionalFormatting>
  <conditionalFormatting sqref="O2:O24">
    <cfRule type="expression" priority="12" dxfId="5">
      <formula>O2&gt;N2</formula>
    </cfRule>
  </conditionalFormatting>
  <conditionalFormatting sqref="O2:O25">
    <cfRule type="expression" priority="7" dxfId="4">
      <formula>O2&lt;N2</formula>
    </cfRule>
  </conditionalFormatting>
  <conditionalFormatting sqref="O25">
    <cfRule type="expression" priority="8" dxfId="3">
      <formula>O25&gt;=N25</formula>
    </cfRule>
  </conditionalFormatting>
  <conditionalFormatting sqref="Q25:AU25">
    <cfRule type="expression" priority="1" dxfId="2">
      <formula>Q25 = P25</formula>
    </cfRule>
    <cfRule type="expression" priority="2" dxfId="1">
      <formula>Q25 &lt; P25</formula>
    </cfRule>
    <cfRule type="expression" priority="3" dxfId="0">
      <formula>Q25 &gt; P25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2" max="2"/>
    <col width="14.140625" customWidth="1" min="3" max="3"/>
    <col width="19.140625" customWidth="1" min="8" max="8"/>
    <col width="17.85546875" customWidth="1" min="9" max="9"/>
  </cols>
  <sheetData>
    <row r="1" ht="18" customHeight="1">
      <c r="A1" s="90" t="inlineStr">
        <is>
          <t>📊 ESTIMATED DIVIDEND INCOME 2025</t>
        </is>
      </c>
    </row>
    <row r="2">
      <c r="A2" t="inlineStr">
        <is>
          <t>Updated:</t>
        </is>
      </c>
      <c r="B2" t="inlineStr">
        <is>
          <t>09/27/2025 08:55</t>
        </is>
      </c>
    </row>
    <row r="3">
      <c r="A3" s="91" t="inlineStr">
        <is>
          <t>Account</t>
        </is>
      </c>
      <c r="B3" s="91" t="inlineStr">
        <is>
          <t>Total Value</t>
        </is>
      </c>
      <c r="C3" s="91" t="inlineStr">
        <is>
          <t>Div Tickers</t>
        </is>
      </c>
      <c r="D3" s="91" t="inlineStr">
        <is>
          <t>Avg Yield %</t>
        </is>
      </c>
      <c r="E3" s="91" t="inlineStr">
        <is>
          <t>Notes</t>
        </is>
      </c>
      <c r="H3" s="91" t="inlineStr">
        <is>
          <t>Annual Dividend</t>
        </is>
      </c>
      <c r="I3" s="91" t="inlineStr">
        <is>
          <t>Monthly Dividend</t>
        </is>
      </c>
    </row>
    <row r="4">
      <c r="A4" s="92" t="inlineStr">
        <is>
          <t>E*TRADE IRA</t>
        </is>
      </c>
      <c r="B4" s="93" t="n">
        <v>233242.3294</v>
      </c>
      <c r="C4" t="n">
        <v>23</v>
      </c>
      <c r="H4" s="96" t="n">
        <v>28305.8432726013</v>
      </c>
      <c r="I4" s="96" t="n">
        <v>2358.820272716775</v>
      </c>
    </row>
    <row r="5">
      <c r="A5" s="92" t="inlineStr">
        <is>
          <t>E*TRADE Taxable</t>
        </is>
      </c>
      <c r="B5" s="93" t="n">
        <v>62480.9095</v>
      </c>
      <c r="C5" t="n">
        <v>12</v>
      </c>
      <c r="H5" s="96" t="n">
        <v>11422.06479579925</v>
      </c>
      <c r="I5" s="96" t="n">
        <v>951.8387329832708</v>
      </c>
    </row>
    <row r="6">
      <c r="A6" s="92" t="inlineStr">
        <is>
          <t>Schwab IRA</t>
        </is>
      </c>
      <c r="B6" s="93" t="n">
        <v>41250.58</v>
      </c>
      <c r="C6" t="n">
        <v>5</v>
      </c>
      <c r="H6" s="96" t="n">
        <v>8577.886727359999</v>
      </c>
      <c r="I6" s="96" t="n">
        <v>714.8238939466665</v>
      </c>
    </row>
    <row r="7">
      <c r="A7" s="92" t="inlineStr">
        <is>
          <t>Schwab Individual</t>
        </is>
      </c>
      <c r="B7" s="93" t="n">
        <v>2503.14</v>
      </c>
      <c r="C7" t="n">
        <v>2</v>
      </c>
      <c r="H7" s="96" t="n">
        <v>552.7120375000001</v>
      </c>
      <c r="I7" s="96" t="n">
        <v>46.05933645833334</v>
      </c>
    </row>
    <row r="9" ht="15.75" customHeight="1">
      <c r="G9" s="94" t="inlineStr">
        <is>
          <t>TOTAL MONTHLY INCOME:</t>
        </is>
      </c>
      <c r="I9" s="95" t="n">
        <v>4071.542236105046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J Matthews</dc:creator>
  <dcterms:created xmlns:dcterms="http://purl.org/dc/terms/" xmlns:xsi="http://www.w3.org/2001/XMLSchema-instance" xsi:type="dcterms:W3CDTF">2025-02-09T14:57:12Z</dcterms:created>
  <dcterms:modified xmlns:dcterms="http://purl.org/dc/terms/" xmlns:xsi="http://www.w3.org/2001/XMLSchema-instance" xsi:type="dcterms:W3CDTF">2025-11-01T14:37:42Z</dcterms:modified>
  <cp:lastModifiedBy>Mark J Matthews</cp:lastModifiedBy>
</cp:coreProperties>
</file>